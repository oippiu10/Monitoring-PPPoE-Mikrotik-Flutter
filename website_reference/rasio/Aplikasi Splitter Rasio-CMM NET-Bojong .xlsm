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45" windowWidth="19875" windowHeight="7725"/>
  </bookViews>
  <sheets>
    <sheet name="Aplikasi Hitung" sheetId="6" r:id="rId1"/>
    <sheet name="Cetak" sheetId="4" r:id="rId2"/>
    <sheet name="Sheet3" sheetId="3" r:id="rId3"/>
  </sheets>
  <definedNames>
    <definedName name="_xlnm.Print_Area" localSheetId="1">Cetak!$D$1:$AB$24</definedName>
  </definedNames>
  <calcPr calcId="144525" iterate="1"/>
</workbook>
</file>

<file path=xl/calcChain.xml><?xml version="1.0" encoding="utf-8"?>
<calcChain xmlns="http://schemas.openxmlformats.org/spreadsheetml/2006/main">
  <c r="AA29" i="6" l="1"/>
  <c r="X29" i="6"/>
  <c r="U29" i="6"/>
  <c r="R29" i="6"/>
  <c r="O29" i="6"/>
  <c r="AB21" i="6"/>
  <c r="AA21" i="6"/>
  <c r="Y21" i="6"/>
  <c r="X21" i="6"/>
  <c r="V21" i="6"/>
  <c r="U21" i="6"/>
  <c r="F21" i="6"/>
  <c r="G21" i="6"/>
  <c r="S21" i="6"/>
  <c r="R21" i="6"/>
  <c r="P21" i="6"/>
  <c r="O21" i="6"/>
  <c r="M21" i="6"/>
  <c r="L21" i="6"/>
  <c r="J21" i="6"/>
  <c r="L29" i="6"/>
  <c r="I29" i="6"/>
  <c r="I21" i="6"/>
  <c r="F29" i="6"/>
  <c r="AB20" i="6"/>
  <c r="Y20" i="6"/>
  <c r="V20" i="6"/>
  <c r="S20" i="6"/>
  <c r="P20" i="6"/>
  <c r="M20" i="6"/>
  <c r="J20" i="6"/>
  <c r="G20" i="6"/>
  <c r="F9" i="4" l="1"/>
  <c r="I15" i="4" l="1"/>
  <c r="F5" i="4"/>
  <c r="F10" i="4"/>
  <c r="X5" i="4"/>
  <c r="X6" i="4"/>
  <c r="F6" i="4"/>
  <c r="AA15" i="4"/>
  <c r="X15" i="4"/>
  <c r="U15" i="4"/>
  <c r="R15" i="4"/>
  <c r="O15" i="4"/>
  <c r="L15" i="4"/>
  <c r="I10" i="4"/>
  <c r="L10" i="4"/>
  <c r="O10" i="4"/>
  <c r="R10" i="4"/>
  <c r="U10" i="4"/>
  <c r="X10" i="4"/>
  <c r="AA10" i="4"/>
  <c r="F15" i="4"/>
  <c r="AA15" i="6"/>
  <c r="AA19" i="4" s="1"/>
  <c r="X15" i="6"/>
  <c r="X19" i="4" s="1"/>
  <c r="U15" i="6"/>
  <c r="U19" i="4" s="1"/>
  <c r="R15" i="6"/>
  <c r="R19" i="4" s="1"/>
  <c r="O15" i="6"/>
  <c r="O19" i="4" s="1"/>
  <c r="L15" i="6"/>
  <c r="L19" i="4" s="1"/>
  <c r="I15" i="6"/>
  <c r="I19" i="4" s="1"/>
  <c r="F15" i="6"/>
  <c r="F19" i="4" s="1"/>
  <c r="AA7" i="6"/>
  <c r="AA11" i="4" s="1"/>
  <c r="X7" i="6"/>
  <c r="X11" i="4" s="1"/>
  <c r="U7" i="6"/>
  <c r="U11" i="4" s="1"/>
  <c r="R7" i="6"/>
  <c r="R11" i="4" s="1"/>
  <c r="O7" i="6"/>
  <c r="O11" i="4" s="1"/>
  <c r="L7" i="6"/>
  <c r="L11" i="4" s="1"/>
  <c r="I7" i="6"/>
  <c r="I11" i="4" s="1"/>
  <c r="F7" i="6"/>
  <c r="F8" i="6" s="1"/>
  <c r="AB6" i="6"/>
  <c r="AB7" i="6" s="1"/>
  <c r="AB11" i="4" s="1"/>
  <c r="Y6" i="6"/>
  <c r="Y10" i="4" s="1"/>
  <c r="V6" i="6"/>
  <c r="V7" i="6" s="1"/>
  <c r="V11" i="4" s="1"/>
  <c r="S6" i="6"/>
  <c r="S7" i="6" s="1"/>
  <c r="S11" i="4" s="1"/>
  <c r="P6" i="6"/>
  <c r="P7" i="6" s="1"/>
  <c r="P11" i="4" s="1"/>
  <c r="M6" i="6"/>
  <c r="J6" i="6"/>
  <c r="J7" i="6" s="1"/>
  <c r="J11" i="4" s="1"/>
  <c r="G6" i="6"/>
  <c r="G7" i="6" s="1"/>
  <c r="G8" i="6" s="1"/>
  <c r="I5" i="6" s="1"/>
  <c r="M10" i="4" l="1"/>
  <c r="M7" i="6"/>
  <c r="AB10" i="4"/>
  <c r="Y7" i="6"/>
  <c r="Y11" i="4" s="1"/>
  <c r="V10" i="4"/>
  <c r="S10" i="4"/>
  <c r="P10" i="4"/>
  <c r="M11" i="4"/>
  <c r="J10" i="4"/>
  <c r="F12" i="6"/>
  <c r="I9" i="4"/>
  <c r="G10" i="4"/>
  <c r="F11" i="4"/>
  <c r="G11" i="4"/>
  <c r="G12" i="4"/>
  <c r="F12" i="4"/>
  <c r="F16" i="4" l="1"/>
  <c r="F19" i="6"/>
  <c r="J8" i="6"/>
  <c r="L5" i="6" s="1"/>
  <c r="L9" i="4" s="1"/>
  <c r="I8" i="6"/>
  <c r="I12" i="6" s="1"/>
  <c r="I16" i="4" s="1"/>
  <c r="F22" i="6" l="1"/>
  <c r="F26" i="6" s="1"/>
  <c r="G22" i="6"/>
  <c r="I19" i="6" s="1"/>
  <c r="J12" i="4"/>
  <c r="I12" i="4"/>
  <c r="L8" i="6"/>
  <c r="L12" i="6" s="1"/>
  <c r="L16" i="4" s="1"/>
  <c r="M8" i="6"/>
  <c r="O5" i="6" s="1"/>
  <c r="O9" i="4" s="1"/>
  <c r="I22" i="6" l="1"/>
  <c r="I26" i="6" s="1"/>
  <c r="J22" i="6"/>
  <c r="L19" i="6" s="1"/>
  <c r="L12" i="4"/>
  <c r="M12" i="4"/>
  <c r="P8" i="6"/>
  <c r="R5" i="6" s="1"/>
  <c r="R9" i="4" s="1"/>
  <c r="O8" i="6"/>
  <c r="M22" i="6" l="1"/>
  <c r="O19" i="6" s="1"/>
  <c r="L22" i="6"/>
  <c r="L26" i="6" s="1"/>
  <c r="P12" i="4"/>
  <c r="R8" i="6"/>
  <c r="R12" i="6" s="1"/>
  <c r="R16" i="4" s="1"/>
  <c r="S8" i="6"/>
  <c r="U5" i="6" s="1"/>
  <c r="O12" i="6"/>
  <c r="O16" i="4" s="1"/>
  <c r="O12" i="4"/>
  <c r="P22" i="6" l="1"/>
  <c r="R19" i="6" s="1"/>
  <c r="O22" i="6"/>
  <c r="O26" i="6" s="1"/>
  <c r="R12" i="4"/>
  <c r="S12" i="4"/>
  <c r="U9" i="4"/>
  <c r="V8" i="6"/>
  <c r="X5" i="6" s="1"/>
  <c r="U8" i="6"/>
  <c r="U12" i="4" s="1"/>
  <c r="S22" i="6" l="1"/>
  <c r="U19" i="6" s="1"/>
  <c r="R22" i="6"/>
  <c r="R26" i="6" s="1"/>
  <c r="V12" i="4"/>
  <c r="X9" i="4"/>
  <c r="Y8" i="6"/>
  <c r="AA5" i="6" s="1"/>
  <c r="AA9" i="4" s="1"/>
  <c r="U12" i="6"/>
  <c r="U16" i="4" s="1"/>
  <c r="X8" i="6"/>
  <c r="X12" i="6" s="1"/>
  <c r="X16" i="4" s="1"/>
  <c r="V22" i="6" l="1"/>
  <c r="X19" i="6" s="1"/>
  <c r="U22" i="6"/>
  <c r="U26" i="6" s="1"/>
  <c r="Y12" i="4"/>
  <c r="X12" i="4"/>
  <c r="AA8" i="6"/>
  <c r="AA12" i="6" s="1"/>
  <c r="AA16" i="4" s="1"/>
  <c r="AB8" i="6"/>
  <c r="AB12" i="4" s="1"/>
  <c r="Y22" i="6" l="1"/>
  <c r="AA19" i="6" s="1"/>
  <c r="X22" i="6"/>
  <c r="X26" i="6" s="1"/>
  <c r="AA12" i="4"/>
  <c r="AB22" i="6" l="1"/>
  <c r="AA22" i="6"/>
  <c r="AA26" i="6" s="1"/>
</calcChain>
</file>

<file path=xl/sharedStrings.xml><?xml version="1.0" encoding="utf-8"?>
<sst xmlns="http://schemas.openxmlformats.org/spreadsheetml/2006/main" count="76" uniqueCount="39">
  <si>
    <t>Input Power</t>
  </si>
  <si>
    <t>Insert Loss</t>
  </si>
  <si>
    <t>Rasio</t>
  </si>
  <si>
    <t>Loss Rasio</t>
  </si>
  <si>
    <t>ODP</t>
  </si>
  <si>
    <t>ODP 1</t>
  </si>
  <si>
    <t>ODP 2</t>
  </si>
  <si>
    <t>ODP 3</t>
  </si>
  <si>
    <t>ODP 4</t>
  </si>
  <si>
    <t>ODP 5</t>
  </si>
  <si>
    <t>ODP 6</t>
  </si>
  <si>
    <t>ODP 7</t>
  </si>
  <si>
    <t>ODP 8</t>
  </si>
  <si>
    <t>Hasil Redaman</t>
  </si>
  <si>
    <t>Output Power</t>
  </si>
  <si>
    <t>APLIKASI PERHITUNGAN RASIO SPLITTER</t>
  </si>
  <si>
    <t>:</t>
  </si>
  <si>
    <t>Nama Jalur</t>
  </si>
  <si>
    <t>Desa</t>
  </si>
  <si>
    <t>Kecamatan</t>
  </si>
  <si>
    <t>Splitter</t>
  </si>
  <si>
    <t>Loss Splitter</t>
  </si>
  <si>
    <t>No. SFP</t>
  </si>
  <si>
    <t>No. ODP</t>
  </si>
  <si>
    <t>Keterangan</t>
  </si>
  <si>
    <t>Yang bisa dirubah hanya</t>
  </si>
  <si>
    <t>kolom yang berwarna putih</t>
  </si>
  <si>
    <t>Jl.</t>
  </si>
  <si>
    <t>Kulon</t>
  </si>
  <si>
    <t>Wetan</t>
  </si>
  <si>
    <t>ODP Yongki</t>
  </si>
  <si>
    <t>ODP 1 Sugi</t>
  </si>
  <si>
    <t>ODP 2 Alimin</t>
  </si>
  <si>
    <t>ODP 3 Joyo</t>
  </si>
  <si>
    <t>ODP 4 Edi</t>
  </si>
  <si>
    <t>ODP 5 Satrio</t>
  </si>
  <si>
    <t>ODP 6 Soamat</t>
  </si>
  <si>
    <t>ODP 7 Aliyah</t>
  </si>
  <si>
    <t>Redaman Awal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</si>
</sst>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/>
  </cellStyleXfs>
  <cellXfs count="70">
    <xf numFmtId="0" fontId="0" fillId="0" borderId="0" xfId="0"/>
    <xf numFmtId="2" fontId="0" fillId="0" borderId="0" xfId="0" applyNumberFormat="1"/>
    <xf numFmtId="0" fontId="0" fillId="0" borderId="0" xfId="0" quotePrefix="1" applyNumberFormat="1"/>
    <xf numFmtId="1" fontId="0" fillId="0" borderId="4" xfId="0" applyNumberForma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2" borderId="4" xfId="0" applyFill="1" applyBorder="1" applyProtection="1"/>
    <xf numFmtId="1" fontId="0" fillId="3" borderId="4" xfId="0" applyNumberFormat="1" applyFill="1" applyBorder="1" applyAlignment="1" applyProtection="1">
      <alignment horizontal="center" vertical="center"/>
    </xf>
    <xf numFmtId="2" fontId="0" fillId="3" borderId="4" xfId="0" applyNumberForma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Protection="1">
      <protection locked="0"/>
    </xf>
    <xf numFmtId="0" fontId="0" fillId="0" borderId="0" xfId="0" applyFill="1" applyBorder="1" applyProtection="1"/>
    <xf numFmtId="0" fontId="0" fillId="3" borderId="13" xfId="0" applyFill="1" applyBorder="1" applyProtection="1"/>
    <xf numFmtId="0" fontId="0" fillId="3" borderId="14" xfId="0" applyFill="1" applyBorder="1" applyProtection="1"/>
    <xf numFmtId="0" fontId="0" fillId="3" borderId="15" xfId="0" applyFill="1" applyBorder="1" applyProtection="1"/>
    <xf numFmtId="0" fontId="0" fillId="3" borderId="16" xfId="0" applyFill="1" applyBorder="1" applyProtection="1"/>
    <xf numFmtId="0" fontId="0" fillId="3" borderId="18" xfId="0" applyFill="1" applyBorder="1" applyProtection="1"/>
    <xf numFmtId="0" fontId="0" fillId="3" borderId="0" xfId="0" applyFill="1" applyBorder="1" applyProtection="1"/>
    <xf numFmtId="0" fontId="0" fillId="3" borderId="19" xfId="0" applyFill="1" applyBorder="1" applyProtection="1"/>
    <xf numFmtId="0" fontId="0" fillId="3" borderId="17" xfId="0" applyFill="1" applyBorder="1" applyProtection="1"/>
    <xf numFmtId="0" fontId="0" fillId="3" borderId="20" xfId="0" applyFill="1" applyBorder="1" applyProtection="1"/>
    <xf numFmtId="0" fontId="0" fillId="3" borderId="4" xfId="0" applyFill="1" applyBorder="1" applyProtection="1"/>
    <xf numFmtId="0" fontId="0" fillId="0" borderId="0" xfId="0" applyAlignment="1" applyProtection="1">
      <alignment horizontal="center" vertical="center"/>
    </xf>
    <xf numFmtId="0" fontId="0" fillId="0" borderId="0" xfId="0" applyFont="1" applyFill="1" applyBorder="1" applyProtection="1"/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0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/>
    </xf>
    <xf numFmtId="0" fontId="0" fillId="0" borderId="5" xfId="0" applyBorder="1" applyAlignment="1" applyProtection="1">
      <alignment horizontal="left"/>
      <protection locked="0"/>
    </xf>
    <xf numFmtId="0" fontId="0" fillId="0" borderId="24" xfId="0" applyBorder="1" applyAlignment="1" applyProtection="1">
      <alignment horizontal="left"/>
      <protection locked="0"/>
    </xf>
    <xf numFmtId="0" fontId="0" fillId="0" borderId="6" xfId="0" applyBorder="1" applyAlignment="1" applyProtection="1">
      <alignment horizontal="left"/>
      <protection locked="0"/>
    </xf>
    <xf numFmtId="0" fontId="0" fillId="0" borderId="0" xfId="0" applyFont="1" applyFill="1" applyAlignment="1" applyProtection="1">
      <alignment horizontal="left"/>
    </xf>
    <xf numFmtId="0" fontId="0" fillId="0" borderId="0" xfId="0" applyAlignment="1" applyProtection="1">
      <alignment horizontal="left"/>
    </xf>
    <xf numFmtId="0" fontId="0" fillId="4" borderId="4" xfId="0" applyFill="1" applyBorder="1" applyProtection="1"/>
    <xf numFmtId="0" fontId="1" fillId="3" borderId="0" xfId="0" applyFont="1" applyFill="1" applyAlignment="1" applyProtection="1">
      <alignment horizontal="center"/>
    </xf>
    <xf numFmtId="1" fontId="0" fillId="0" borderId="4" xfId="0" applyNumberFormat="1" applyFill="1" applyBorder="1" applyAlignment="1" applyProtection="1">
      <alignment horizontal="center"/>
      <protection locked="0"/>
    </xf>
    <xf numFmtId="2" fontId="0" fillId="2" borderId="4" xfId="0" applyNumberFormat="1" applyFill="1" applyBorder="1" applyAlignment="1" applyProtection="1">
      <alignment horizontal="center"/>
    </xf>
    <xf numFmtId="0" fontId="1" fillId="4" borderId="5" xfId="0" applyFont="1" applyFill="1" applyBorder="1" applyAlignment="1" applyProtection="1">
      <alignment horizontal="center"/>
    </xf>
    <xf numFmtId="0" fontId="1" fillId="4" borderId="6" xfId="0" applyFont="1" applyFill="1" applyBorder="1" applyAlignment="1" applyProtection="1">
      <alignment horizontal="center"/>
    </xf>
    <xf numFmtId="1" fontId="0" fillId="0" borderId="9" xfId="0" applyNumberFormat="1" applyFill="1" applyBorder="1" applyAlignment="1" applyProtection="1">
      <alignment horizontal="center"/>
      <protection locked="0"/>
    </xf>
    <xf numFmtId="1" fontId="0" fillId="0" borderId="10" xfId="0" applyNumberFormat="1" applyFill="1" applyBorder="1" applyAlignment="1" applyProtection="1">
      <alignment horizontal="center"/>
      <protection locked="0"/>
    </xf>
    <xf numFmtId="1" fontId="0" fillId="0" borderId="5" xfId="0" applyNumberFormat="1" applyFill="1" applyBorder="1" applyAlignment="1" applyProtection="1">
      <alignment horizontal="center"/>
      <protection locked="0"/>
    </xf>
    <xf numFmtId="1" fontId="0" fillId="0" borderId="6" xfId="0" applyNumberFormat="1" applyFill="1" applyBorder="1" applyAlignment="1" applyProtection="1">
      <alignment horizontal="center"/>
      <protection locked="0"/>
    </xf>
    <xf numFmtId="2" fontId="2" fillId="3" borderId="7" xfId="0" applyNumberFormat="1" applyFont="1" applyFill="1" applyBorder="1" applyAlignment="1" applyProtection="1">
      <alignment horizontal="center" vertical="center"/>
    </xf>
    <xf numFmtId="2" fontId="2" fillId="3" borderId="8" xfId="0" applyNumberFormat="1" applyFont="1" applyFill="1" applyBorder="1" applyAlignment="1" applyProtection="1">
      <alignment horizontal="center" vertical="center"/>
    </xf>
    <xf numFmtId="2" fontId="2" fillId="3" borderId="9" xfId="0" applyNumberFormat="1" applyFont="1" applyFill="1" applyBorder="1" applyAlignment="1" applyProtection="1">
      <alignment horizontal="center" vertical="center"/>
    </xf>
    <xf numFmtId="2" fontId="2" fillId="3" borderId="10" xfId="0" applyNumberFormat="1" applyFont="1" applyFill="1" applyBorder="1" applyAlignment="1" applyProtection="1">
      <alignment horizontal="center" vertical="center"/>
    </xf>
    <xf numFmtId="2" fontId="2" fillId="3" borderId="11" xfId="0" applyNumberFormat="1" applyFont="1" applyFill="1" applyBorder="1" applyAlignment="1" applyProtection="1">
      <alignment horizontal="center" vertical="center"/>
    </xf>
    <xf numFmtId="2" fontId="2" fillId="3" borderId="12" xfId="0" applyNumberFormat="1" applyFont="1" applyFill="1" applyBorder="1" applyAlignment="1" applyProtection="1">
      <alignment horizontal="center" vertical="center"/>
    </xf>
    <xf numFmtId="0" fontId="0" fillId="0" borderId="21" xfId="0" applyBorder="1" applyAlignment="1" applyProtection="1">
      <alignment horizontal="left"/>
      <protection locked="0"/>
    </xf>
    <xf numFmtId="0" fontId="0" fillId="0" borderId="22" xfId="0" applyBorder="1" applyAlignment="1" applyProtection="1">
      <alignment horizontal="left"/>
      <protection locked="0"/>
    </xf>
    <xf numFmtId="0" fontId="0" fillId="0" borderId="23" xfId="0" applyBorder="1" applyAlignment="1" applyProtection="1">
      <alignment horizontal="left"/>
      <protection locked="0"/>
    </xf>
    <xf numFmtId="0" fontId="0" fillId="3" borderId="25" xfId="0" applyFill="1" applyBorder="1" applyAlignment="1" applyProtection="1">
      <alignment horizontal="left" vertical="center"/>
    </xf>
    <xf numFmtId="0" fontId="0" fillId="3" borderId="26" xfId="0" applyFill="1" applyBorder="1" applyAlignment="1" applyProtection="1">
      <alignment horizontal="left" vertical="center"/>
    </xf>
    <xf numFmtId="0" fontId="0" fillId="3" borderId="27" xfId="0" applyFill="1" applyBorder="1" applyAlignment="1" applyProtection="1">
      <alignment horizontal="left" vertical="center"/>
    </xf>
    <xf numFmtId="1" fontId="0" fillId="5" borderId="11" xfId="0" applyNumberFormat="1" applyFill="1" applyBorder="1" applyAlignment="1" applyProtection="1">
      <alignment horizontal="center" vertical="center"/>
    </xf>
    <xf numFmtId="1" fontId="0" fillId="5" borderId="12" xfId="0" applyNumberFormat="1" applyFill="1" applyBorder="1" applyAlignment="1" applyProtection="1">
      <alignment horizontal="center" vertical="center"/>
    </xf>
    <xf numFmtId="1" fontId="0" fillId="5" borderId="5" xfId="0" applyNumberFormat="1" applyFill="1" applyBorder="1" applyAlignment="1" applyProtection="1">
      <alignment horizontal="center" vertical="center"/>
    </xf>
    <xf numFmtId="1" fontId="0" fillId="5" borderId="6" xfId="0" applyNumberFormat="1" applyFill="1" applyBorder="1" applyAlignment="1" applyProtection="1">
      <alignment horizontal="center" vertical="center"/>
    </xf>
    <xf numFmtId="1" fontId="0" fillId="0" borderId="1" xfId="0" applyNumberFormat="1" applyFont="1" applyFill="1" applyBorder="1" applyAlignment="1" applyProtection="1">
      <alignment horizontal="center"/>
    </xf>
    <xf numFmtId="2" fontId="0" fillId="0" borderId="1" xfId="0" applyNumberFormat="1" applyFont="1" applyFill="1" applyBorder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 applyProtection="1">
      <alignment horizontal="center" vertical="center"/>
    </xf>
    <xf numFmtId="2" fontId="1" fillId="0" borderId="1" xfId="0" applyNumberFormat="1" applyFont="1" applyFill="1" applyBorder="1" applyAlignment="1" applyProtection="1">
      <alignment horizontal="center" vertical="center"/>
    </xf>
    <xf numFmtId="1" fontId="0" fillId="0" borderId="2" xfId="0" applyNumberFormat="1" applyFont="1" applyFill="1" applyBorder="1" applyAlignment="1" applyProtection="1">
      <alignment horizontal="center" vertical="center"/>
      <protection locked="0"/>
    </xf>
    <xf numFmtId="1" fontId="0" fillId="0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Alignment="1">
      <alignment horizontal="center"/>
    </xf>
    <xf numFmtId="2" fontId="0" fillId="0" borderId="4" xfId="0" applyNumberFormat="1" applyFill="1" applyBorder="1" applyAlignment="1" applyProtection="1">
      <alignment horizontal="center"/>
      <protection locked="0"/>
    </xf>
    <xf numFmtId="0" fontId="0" fillId="6" borderId="14" xfId="0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0</xdr:row>
      <xdr:rowOff>152400</xdr:rowOff>
    </xdr:from>
    <xdr:to>
      <xdr:col>28</xdr:col>
      <xdr:colOff>47625</xdr:colOff>
      <xdr:row>2</xdr:row>
      <xdr:rowOff>28575</xdr:rowOff>
    </xdr:to>
    <xdr:sp macro="[0]!Button1_Click" textlink="">
      <xdr:nvSpPr>
        <xdr:cNvPr id="3" name="Rectangle 2"/>
        <xdr:cNvSpPr/>
      </xdr:nvSpPr>
      <xdr:spPr>
        <a:xfrm>
          <a:off x="10153650" y="152400"/>
          <a:ext cx="847725" cy="257175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Cetak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228600</xdr:colOff>
      <xdr:row>0</xdr:row>
      <xdr:rowOff>142876</xdr:rowOff>
    </xdr:from>
    <xdr:to>
      <xdr:col>5</xdr:col>
      <xdr:colOff>66675</xdr:colOff>
      <xdr:row>2</xdr:row>
      <xdr:rowOff>60589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42876"/>
          <a:ext cx="1190625" cy="2987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AE35"/>
  <sheetViews>
    <sheetView showGridLines="0" tabSelected="1" zoomScale="130" zoomScaleNormal="130" workbookViewId="0">
      <pane ySplit="38" topLeftCell="A39" activePane="bottomLeft" state="frozen"/>
      <selection pane="bottomLeft" activeCell="AG23" sqref="AG23"/>
    </sheetView>
  </sheetViews>
  <sheetFormatPr defaultRowHeight="15" x14ac:dyDescent="0.25"/>
  <cols>
    <col min="1" max="2" width="9.140625" style="4"/>
    <col min="3" max="3" width="2.7109375" style="4" customWidth="1"/>
    <col min="4" max="4" width="14.140625" style="4" bestFit="1" customWidth="1"/>
    <col min="5" max="5" width="2.7109375" style="4" customWidth="1"/>
    <col min="6" max="7" width="6.7109375" style="4" customWidth="1"/>
    <col min="8" max="8" width="2.7109375" style="4" customWidth="1"/>
    <col min="9" max="10" width="6.7109375" style="4" customWidth="1"/>
    <col min="11" max="11" width="2.7109375" style="4" customWidth="1"/>
    <col min="12" max="13" width="6.7109375" style="4" customWidth="1"/>
    <col min="14" max="14" width="2.7109375" style="4" customWidth="1"/>
    <col min="15" max="16" width="6.7109375" style="4" customWidth="1"/>
    <col min="17" max="17" width="2.7109375" style="4" customWidth="1"/>
    <col min="18" max="19" width="6.7109375" style="4" customWidth="1"/>
    <col min="20" max="20" width="2.7109375" style="4" customWidth="1"/>
    <col min="21" max="22" width="6.7109375" style="4" customWidth="1"/>
    <col min="23" max="23" width="2.7109375" style="4" customWidth="1"/>
    <col min="24" max="25" width="6.7109375" style="4" customWidth="1"/>
    <col min="26" max="26" width="2.7109375" style="4" customWidth="1"/>
    <col min="27" max="28" width="6.7109375" style="4" customWidth="1"/>
    <col min="29" max="29" width="2.7109375" style="4" customWidth="1"/>
    <col min="30" max="16384" width="9.140625" style="4"/>
  </cols>
  <sheetData>
    <row r="2" spans="3:29" x14ac:dyDescent="0.25">
      <c r="D2" s="34" t="s">
        <v>15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</row>
    <row r="4" spans="3:29" x14ac:dyDescent="0.25">
      <c r="C4" s="11"/>
      <c r="D4" s="12"/>
      <c r="E4" s="12"/>
      <c r="F4" s="69" t="s">
        <v>38</v>
      </c>
      <c r="G4" s="69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3"/>
    </row>
    <row r="5" spans="3:29" x14ac:dyDescent="0.25">
      <c r="C5" s="14"/>
      <c r="D5" s="5" t="s">
        <v>0</v>
      </c>
      <c r="E5" s="16"/>
      <c r="F5" s="35">
        <v>-5</v>
      </c>
      <c r="G5" s="35"/>
      <c r="H5" s="16"/>
      <c r="I5" s="36">
        <f>G8</f>
        <v>-7.4700000000000006</v>
      </c>
      <c r="J5" s="36"/>
      <c r="K5" s="16"/>
      <c r="L5" s="36">
        <f>J8</f>
        <v>-7.94</v>
      </c>
      <c r="M5" s="36"/>
      <c r="N5" s="16"/>
      <c r="O5" s="36">
        <f>M8</f>
        <v>-8.41</v>
      </c>
      <c r="P5" s="36"/>
      <c r="Q5" s="16"/>
      <c r="R5" s="36">
        <f>P8</f>
        <v>-10.210000000000001</v>
      </c>
      <c r="S5" s="36"/>
      <c r="T5" s="16"/>
      <c r="U5" s="36">
        <f>S8</f>
        <v>-12.010000000000002</v>
      </c>
      <c r="V5" s="36"/>
      <c r="W5" s="16"/>
      <c r="X5" s="36">
        <f>V8</f>
        <v>-14.480000000000002</v>
      </c>
      <c r="Y5" s="36"/>
      <c r="Z5" s="16"/>
      <c r="AA5" s="36">
        <f>Y8</f>
        <v>-17.740000000000002</v>
      </c>
      <c r="AB5" s="36"/>
      <c r="AC5" s="18"/>
    </row>
    <row r="6" spans="3:29" x14ac:dyDescent="0.25">
      <c r="C6" s="14"/>
      <c r="D6" s="20" t="s">
        <v>2</v>
      </c>
      <c r="E6" s="16"/>
      <c r="F6" s="3">
        <v>40</v>
      </c>
      <c r="G6" s="6">
        <f>100-F6</f>
        <v>60</v>
      </c>
      <c r="H6" s="16"/>
      <c r="I6" s="3">
        <v>5</v>
      </c>
      <c r="J6" s="6">
        <f>100-I6</f>
        <v>95</v>
      </c>
      <c r="K6" s="16"/>
      <c r="L6" s="3">
        <v>5</v>
      </c>
      <c r="M6" s="6">
        <f>100-L6</f>
        <v>95</v>
      </c>
      <c r="N6" s="16"/>
      <c r="O6" s="3">
        <v>30</v>
      </c>
      <c r="P6" s="6">
        <f>100-O6</f>
        <v>70</v>
      </c>
      <c r="Q6" s="16"/>
      <c r="R6" s="3">
        <v>30</v>
      </c>
      <c r="S6" s="6">
        <f>100-R6</f>
        <v>70</v>
      </c>
      <c r="T6" s="16"/>
      <c r="U6" s="3">
        <v>40</v>
      </c>
      <c r="V6" s="6">
        <f>100-U6</f>
        <v>60</v>
      </c>
      <c r="W6" s="16"/>
      <c r="X6" s="3">
        <v>50</v>
      </c>
      <c r="Y6" s="6">
        <f>100-X6</f>
        <v>50</v>
      </c>
      <c r="Z6" s="16"/>
      <c r="AA6" s="3">
        <v>8</v>
      </c>
      <c r="AB6" s="6">
        <f>100-AA6</f>
        <v>92</v>
      </c>
      <c r="AC6" s="18"/>
    </row>
    <row r="7" spans="3:29" x14ac:dyDescent="0.25">
      <c r="C7" s="14"/>
      <c r="D7" s="20" t="s">
        <v>1</v>
      </c>
      <c r="E7" s="16"/>
      <c r="F7" s="7">
        <f>VLOOKUP(F6,Sheet3!A3:B102,2)</f>
        <v>4.2300000000000004</v>
      </c>
      <c r="G7" s="7">
        <f>VLOOKUP(G6,Sheet3!A3:B102,2)</f>
        <v>2.4700000000000002</v>
      </c>
      <c r="H7" s="16"/>
      <c r="I7" s="7">
        <f>VLOOKUP(I6,Sheet3!A3:B102,2)</f>
        <v>13.26</v>
      </c>
      <c r="J7" s="7">
        <f>VLOOKUP(J6,Sheet3!A3:B102,2)</f>
        <v>0.47</v>
      </c>
      <c r="K7" s="16"/>
      <c r="L7" s="7">
        <f>VLOOKUP(L6,Sheet3!A3:B102,2)</f>
        <v>13.26</v>
      </c>
      <c r="M7" s="7">
        <f>VLOOKUP(M6,Sheet3!A3:B102,2)</f>
        <v>0.47</v>
      </c>
      <c r="N7" s="16"/>
      <c r="O7" s="7">
        <f>VLOOKUP(O6,Sheet3!A3:B102,2)</f>
        <v>5.48</v>
      </c>
      <c r="P7" s="7">
        <f>VLOOKUP(P6,Sheet3!A3:B102,2)</f>
        <v>1.8</v>
      </c>
      <c r="Q7" s="16"/>
      <c r="R7" s="7">
        <f>VLOOKUP(R6,Sheet3!A3:B102,2)</f>
        <v>5.48</v>
      </c>
      <c r="S7" s="7">
        <f>VLOOKUP(S6,Sheet3!A3:B102,2)</f>
        <v>1.8</v>
      </c>
      <c r="T7" s="16"/>
      <c r="U7" s="7">
        <f>VLOOKUP(U6,Sheet3!A3:B102,2)</f>
        <v>4.2300000000000004</v>
      </c>
      <c r="V7" s="7">
        <f>VLOOKUP(V6,Sheet3!A3:B102,2)</f>
        <v>2.4700000000000002</v>
      </c>
      <c r="W7" s="16"/>
      <c r="X7" s="7">
        <f>VLOOKUP(X6,Sheet3!A3:B102,2)</f>
        <v>3.26</v>
      </c>
      <c r="Y7" s="7">
        <f>VLOOKUP(Y6,Sheet3!A3:B102,2)</f>
        <v>3.26</v>
      </c>
      <c r="Z7" s="16"/>
      <c r="AA7" s="7">
        <f>VLOOKUP(AA6,Sheet3!A3:B102,2)</f>
        <v>11.22</v>
      </c>
      <c r="AB7" s="7">
        <f>VLOOKUP(AB6,Sheet3!A3:B102,2)</f>
        <v>0.61</v>
      </c>
      <c r="AC7" s="18"/>
    </row>
    <row r="8" spans="3:29" x14ac:dyDescent="0.25">
      <c r="C8" s="14"/>
      <c r="D8" s="20" t="s">
        <v>14</v>
      </c>
      <c r="E8" s="16"/>
      <c r="F8" s="7">
        <f>F5-F7</f>
        <v>-9.23</v>
      </c>
      <c r="G8" s="7">
        <f>F5-G7</f>
        <v>-7.4700000000000006</v>
      </c>
      <c r="H8" s="16"/>
      <c r="I8" s="7">
        <f>I5-I7</f>
        <v>-20.73</v>
      </c>
      <c r="J8" s="7">
        <f>I5-J7</f>
        <v>-7.94</v>
      </c>
      <c r="K8" s="16"/>
      <c r="L8" s="7">
        <f>L5-L7</f>
        <v>-21.2</v>
      </c>
      <c r="M8" s="7">
        <f>L5-M7</f>
        <v>-8.41</v>
      </c>
      <c r="N8" s="16"/>
      <c r="O8" s="7">
        <f>O5-O7</f>
        <v>-13.89</v>
      </c>
      <c r="P8" s="7">
        <f>O5-P7</f>
        <v>-10.210000000000001</v>
      </c>
      <c r="Q8" s="16"/>
      <c r="R8" s="7">
        <f>R5-R7</f>
        <v>-15.690000000000001</v>
      </c>
      <c r="S8" s="7">
        <f>R5-S7</f>
        <v>-12.010000000000002</v>
      </c>
      <c r="T8" s="16"/>
      <c r="U8" s="7">
        <f>U5-U7</f>
        <v>-16.240000000000002</v>
      </c>
      <c r="V8" s="7">
        <f>U5-V7</f>
        <v>-14.480000000000002</v>
      </c>
      <c r="W8" s="16"/>
      <c r="X8" s="7">
        <f>X5-X7</f>
        <v>-17.740000000000002</v>
      </c>
      <c r="Y8" s="7">
        <f>X5-Y7</f>
        <v>-17.740000000000002</v>
      </c>
      <c r="Z8" s="16"/>
      <c r="AA8" s="7">
        <f>AA5-AA7</f>
        <v>-28.96</v>
      </c>
      <c r="AB8" s="7">
        <f>AA5-AB7</f>
        <v>-18.350000000000001</v>
      </c>
      <c r="AC8" s="18"/>
    </row>
    <row r="9" spans="3:29" x14ac:dyDescent="0.25">
      <c r="C9" s="14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8"/>
    </row>
    <row r="10" spans="3:29" x14ac:dyDescent="0.25">
      <c r="C10" s="14"/>
      <c r="D10" s="33" t="s">
        <v>23</v>
      </c>
      <c r="E10" s="16"/>
      <c r="F10" s="37" t="s">
        <v>31</v>
      </c>
      <c r="G10" s="38"/>
      <c r="H10" s="16"/>
      <c r="I10" s="37" t="s">
        <v>32</v>
      </c>
      <c r="J10" s="38"/>
      <c r="K10" s="16"/>
      <c r="L10" s="37" t="s">
        <v>33</v>
      </c>
      <c r="M10" s="38"/>
      <c r="N10" s="16"/>
      <c r="O10" s="37" t="s">
        <v>34</v>
      </c>
      <c r="P10" s="38"/>
      <c r="Q10" s="16"/>
      <c r="R10" s="37" t="s">
        <v>35</v>
      </c>
      <c r="S10" s="38"/>
      <c r="T10" s="16"/>
      <c r="U10" s="37" t="s">
        <v>36</v>
      </c>
      <c r="V10" s="38"/>
      <c r="W10" s="16"/>
      <c r="X10" s="37" t="s">
        <v>37</v>
      </c>
      <c r="Y10" s="38"/>
      <c r="Z10" s="16"/>
      <c r="AA10" s="37" t="s">
        <v>12</v>
      </c>
      <c r="AB10" s="38"/>
      <c r="AC10" s="18"/>
    </row>
    <row r="11" spans="3:29" x14ac:dyDescent="0.25">
      <c r="C11" s="14"/>
      <c r="D11" s="20" t="s">
        <v>20</v>
      </c>
      <c r="E11" s="16"/>
      <c r="F11" s="39">
        <v>2</v>
      </c>
      <c r="G11" s="40"/>
      <c r="H11" s="16"/>
      <c r="I11" s="41">
        <v>2</v>
      </c>
      <c r="J11" s="42"/>
      <c r="K11" s="16"/>
      <c r="L11" s="41">
        <v>2</v>
      </c>
      <c r="M11" s="42"/>
      <c r="N11" s="16"/>
      <c r="O11" s="41">
        <v>8</v>
      </c>
      <c r="P11" s="42"/>
      <c r="Q11" s="16"/>
      <c r="R11" s="41">
        <v>4</v>
      </c>
      <c r="S11" s="42"/>
      <c r="T11" s="16"/>
      <c r="U11" s="41">
        <v>4</v>
      </c>
      <c r="V11" s="42"/>
      <c r="W11" s="16"/>
      <c r="X11" s="41">
        <v>4</v>
      </c>
      <c r="Y11" s="42"/>
      <c r="Z11" s="16"/>
      <c r="AA11" s="41">
        <v>8</v>
      </c>
      <c r="AB11" s="42"/>
      <c r="AC11" s="18"/>
    </row>
    <row r="12" spans="3:29" ht="15" customHeight="1" x14ac:dyDescent="0.25">
      <c r="C12" s="14"/>
      <c r="D12" s="52" t="s">
        <v>13</v>
      </c>
      <c r="E12" s="16"/>
      <c r="F12" s="43">
        <f>F8-F15</f>
        <v>-12.23</v>
      </c>
      <c r="G12" s="44"/>
      <c r="H12" s="16"/>
      <c r="I12" s="43">
        <f>I8-I15</f>
        <v>-23.73</v>
      </c>
      <c r="J12" s="44"/>
      <c r="K12" s="16"/>
      <c r="L12" s="43">
        <f>L8-L15</f>
        <v>-24.2</v>
      </c>
      <c r="M12" s="44"/>
      <c r="N12" s="16"/>
      <c r="O12" s="43">
        <f>O8-O15</f>
        <v>-23.89</v>
      </c>
      <c r="P12" s="44"/>
      <c r="Q12" s="16"/>
      <c r="R12" s="43">
        <f>R8-R15</f>
        <v>-22.69</v>
      </c>
      <c r="S12" s="44"/>
      <c r="T12" s="16"/>
      <c r="U12" s="43">
        <f>U8-U15</f>
        <v>-23.240000000000002</v>
      </c>
      <c r="V12" s="44"/>
      <c r="W12" s="16"/>
      <c r="X12" s="43">
        <f>X8-X15</f>
        <v>-24.740000000000002</v>
      </c>
      <c r="Y12" s="44"/>
      <c r="Z12" s="16"/>
      <c r="AA12" s="43">
        <f>AA8-AA15</f>
        <v>-38.96</v>
      </c>
      <c r="AB12" s="44"/>
      <c r="AC12" s="18"/>
    </row>
    <row r="13" spans="3:29" ht="15" customHeight="1" x14ac:dyDescent="0.25">
      <c r="C13" s="14"/>
      <c r="D13" s="53"/>
      <c r="E13" s="16"/>
      <c r="F13" s="45"/>
      <c r="G13" s="46"/>
      <c r="H13" s="16"/>
      <c r="I13" s="45"/>
      <c r="J13" s="46"/>
      <c r="K13" s="16"/>
      <c r="L13" s="45"/>
      <c r="M13" s="46"/>
      <c r="N13" s="16"/>
      <c r="O13" s="45"/>
      <c r="P13" s="46"/>
      <c r="Q13" s="16"/>
      <c r="R13" s="45"/>
      <c r="S13" s="46"/>
      <c r="T13" s="16"/>
      <c r="U13" s="45"/>
      <c r="V13" s="46"/>
      <c r="W13" s="16"/>
      <c r="X13" s="45"/>
      <c r="Y13" s="46"/>
      <c r="Z13" s="16"/>
      <c r="AA13" s="45"/>
      <c r="AB13" s="46"/>
      <c r="AC13" s="18"/>
    </row>
    <row r="14" spans="3:29" ht="15" customHeight="1" x14ac:dyDescent="0.25">
      <c r="C14" s="14"/>
      <c r="D14" s="54"/>
      <c r="E14" s="16"/>
      <c r="F14" s="47"/>
      <c r="G14" s="48"/>
      <c r="H14" s="16"/>
      <c r="I14" s="47"/>
      <c r="J14" s="48"/>
      <c r="K14" s="16"/>
      <c r="L14" s="47"/>
      <c r="M14" s="48"/>
      <c r="N14" s="16"/>
      <c r="O14" s="47"/>
      <c r="P14" s="48"/>
      <c r="Q14" s="16"/>
      <c r="R14" s="47"/>
      <c r="S14" s="48"/>
      <c r="T14" s="16"/>
      <c r="U14" s="47"/>
      <c r="V14" s="48"/>
      <c r="W14" s="16"/>
      <c r="X14" s="47"/>
      <c r="Y14" s="48"/>
      <c r="Z14" s="16"/>
      <c r="AA14" s="47"/>
      <c r="AB14" s="48"/>
      <c r="AC14" s="18"/>
    </row>
    <row r="15" spans="3:29" x14ac:dyDescent="0.25">
      <c r="C15" s="14"/>
      <c r="D15" s="20" t="s">
        <v>21</v>
      </c>
      <c r="E15" s="16"/>
      <c r="F15" s="55">
        <f>VLOOKUP(F11,Sheet3!D3:E8,2)</f>
        <v>3</v>
      </c>
      <c r="G15" s="56"/>
      <c r="H15" s="16"/>
      <c r="I15" s="57">
        <f>VLOOKUP(I11,Sheet3!D3:E8,2)</f>
        <v>3</v>
      </c>
      <c r="J15" s="58"/>
      <c r="K15" s="16"/>
      <c r="L15" s="57">
        <f>VLOOKUP(L11,Sheet3!D3:E8,2)</f>
        <v>3</v>
      </c>
      <c r="M15" s="58"/>
      <c r="N15" s="16"/>
      <c r="O15" s="57">
        <f>VLOOKUP(O11,Sheet3!D3:E8,2)</f>
        <v>10</v>
      </c>
      <c r="P15" s="58"/>
      <c r="Q15" s="16"/>
      <c r="R15" s="57">
        <f>VLOOKUP(R11,Sheet3!D3:E8,2)</f>
        <v>7</v>
      </c>
      <c r="S15" s="58"/>
      <c r="T15" s="16"/>
      <c r="U15" s="57">
        <f>VLOOKUP(U11,Sheet3!D3:E8,2)</f>
        <v>7</v>
      </c>
      <c r="V15" s="58"/>
      <c r="W15" s="16"/>
      <c r="X15" s="57">
        <f>VLOOKUP(X11,Sheet3!D3:E8,2)</f>
        <v>7</v>
      </c>
      <c r="Y15" s="58"/>
      <c r="Z15" s="16"/>
      <c r="AA15" s="57">
        <f>VLOOKUP(AA11,Sheet3!D3:E8,2)</f>
        <v>10</v>
      </c>
      <c r="AB15" s="58"/>
      <c r="AC15" s="18"/>
    </row>
    <row r="16" spans="3:29" x14ac:dyDescent="0.25">
      <c r="C16" s="15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9"/>
    </row>
    <row r="18" spans="3:31" x14ac:dyDescent="0.25">
      <c r="C18" s="11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3"/>
    </row>
    <row r="19" spans="3:31" x14ac:dyDescent="0.25">
      <c r="C19" s="14"/>
      <c r="D19" s="5" t="s">
        <v>0</v>
      </c>
      <c r="E19" s="16"/>
      <c r="F19" s="68">
        <f>F12</f>
        <v>-12.23</v>
      </c>
      <c r="G19" s="68"/>
      <c r="H19" s="16"/>
      <c r="I19" s="36">
        <f>G22</f>
        <v>-14.030000000000001</v>
      </c>
      <c r="J19" s="36"/>
      <c r="K19" s="16"/>
      <c r="L19" s="36">
        <f>J22</f>
        <v>-14.500000000000002</v>
      </c>
      <c r="M19" s="36"/>
      <c r="N19" s="16"/>
      <c r="O19" s="36">
        <f>M22</f>
        <v>-16.970000000000002</v>
      </c>
      <c r="P19" s="36"/>
      <c r="Q19" s="16"/>
      <c r="R19" s="36">
        <f>P22</f>
        <v>-17.440000000000001</v>
      </c>
      <c r="S19" s="36"/>
      <c r="T19" s="16"/>
      <c r="U19" s="36">
        <f>S22</f>
        <v>-17.91</v>
      </c>
      <c r="V19" s="36"/>
      <c r="W19" s="16"/>
      <c r="X19" s="36">
        <f>V22</f>
        <v>-18.43</v>
      </c>
      <c r="Y19" s="36"/>
      <c r="Z19" s="16"/>
      <c r="AA19" s="36">
        <f>Y22</f>
        <v>-19.04</v>
      </c>
      <c r="AB19" s="36"/>
      <c r="AC19" s="18"/>
    </row>
    <row r="20" spans="3:31" x14ac:dyDescent="0.25">
      <c r="C20" s="14"/>
      <c r="D20" s="20" t="s">
        <v>2</v>
      </c>
      <c r="E20" s="16"/>
      <c r="F20" s="3">
        <v>30</v>
      </c>
      <c r="G20" s="6">
        <f>100-F20</f>
        <v>70</v>
      </c>
      <c r="H20" s="16"/>
      <c r="I20" s="3">
        <v>5</v>
      </c>
      <c r="J20" s="6">
        <f>100-I20</f>
        <v>95</v>
      </c>
      <c r="K20" s="16"/>
      <c r="L20" s="3">
        <v>40</v>
      </c>
      <c r="M20" s="6">
        <f>100-L20</f>
        <v>60</v>
      </c>
      <c r="N20" s="16"/>
      <c r="O20" s="3">
        <v>5</v>
      </c>
      <c r="P20" s="6">
        <f>100-O20</f>
        <v>95</v>
      </c>
      <c r="Q20" s="16"/>
      <c r="R20" s="3">
        <v>5</v>
      </c>
      <c r="S20" s="6">
        <f>100-R20</f>
        <v>95</v>
      </c>
      <c r="T20" s="16"/>
      <c r="U20" s="3">
        <v>6</v>
      </c>
      <c r="V20" s="6">
        <f>100-U20</f>
        <v>94</v>
      </c>
      <c r="W20" s="16"/>
      <c r="X20" s="3">
        <v>8</v>
      </c>
      <c r="Y20" s="6">
        <f>100-X20</f>
        <v>92</v>
      </c>
      <c r="Z20" s="16"/>
      <c r="AA20" s="3">
        <v>8</v>
      </c>
      <c r="AB20" s="6">
        <f>100-AA20</f>
        <v>92</v>
      </c>
      <c r="AC20" s="18"/>
    </row>
    <row r="21" spans="3:31" x14ac:dyDescent="0.25">
      <c r="C21" s="14"/>
      <c r="D21" s="20" t="s">
        <v>1</v>
      </c>
      <c r="E21" s="16"/>
      <c r="F21" s="7">
        <f>VLOOKUP(F20,Sheet3!A3:B102,2)</f>
        <v>5.48</v>
      </c>
      <c r="G21" s="7">
        <f>VLOOKUP(G20,Sheet3!A3:B102,2)</f>
        <v>1.8</v>
      </c>
      <c r="H21" s="16"/>
      <c r="I21" s="7">
        <f>VLOOKUP(I20,Sheet3!A3:B102,2)</f>
        <v>13.26</v>
      </c>
      <c r="J21" s="7">
        <f>VLOOKUP(J20,Sheet3!A3:B102,2)</f>
        <v>0.47</v>
      </c>
      <c r="K21" s="16"/>
      <c r="L21" s="7">
        <f>VLOOKUP(L20,Sheet3!A3:B102,2)</f>
        <v>4.2300000000000004</v>
      </c>
      <c r="M21" s="7">
        <f>VLOOKUP(M20,Sheet3!A3:B102,2)</f>
        <v>2.4700000000000002</v>
      </c>
      <c r="N21" s="16"/>
      <c r="O21" s="7">
        <f>VLOOKUP(O20,Sheet3!A3:B102,2)</f>
        <v>13.26</v>
      </c>
      <c r="P21" s="7">
        <f>VLOOKUP(P20,Sheet3!A3:B102,2)</f>
        <v>0.47</v>
      </c>
      <c r="Q21" s="16"/>
      <c r="R21" s="7">
        <f>VLOOKUP(R20,Sheet3!A3:B102,2)</f>
        <v>13.26</v>
      </c>
      <c r="S21" s="7">
        <f>VLOOKUP(S20,Sheet3!A3:B102,2)</f>
        <v>0.47</v>
      </c>
      <c r="T21" s="16"/>
      <c r="U21" s="7">
        <f>VLOOKUP(U20,Sheet3!A3:B102,2)</f>
        <v>12.47</v>
      </c>
      <c r="V21" s="7">
        <f>VLOOKUP(V20,Sheet3!A3:B102,2)</f>
        <v>0.52</v>
      </c>
      <c r="W21" s="16"/>
      <c r="X21" s="7">
        <f>VLOOKUP(X20,Sheet3!A3:B102,2)</f>
        <v>11.22</v>
      </c>
      <c r="Y21" s="7">
        <f>VLOOKUP(Y20,Sheet3!A3:B102,2)</f>
        <v>0.61</v>
      </c>
      <c r="Z21" s="16"/>
      <c r="AA21" s="7">
        <f>VLOOKUP(AA20,Sheet3!A3:B102,2)</f>
        <v>11.22</v>
      </c>
      <c r="AB21" s="7">
        <f>VLOOKUP(AB20,Sheet3!A3:B102,2)</f>
        <v>0.61</v>
      </c>
      <c r="AC21" s="18"/>
    </row>
    <row r="22" spans="3:31" x14ac:dyDescent="0.25">
      <c r="C22" s="14"/>
      <c r="D22" s="20" t="s">
        <v>14</v>
      </c>
      <c r="E22" s="16"/>
      <c r="F22" s="7">
        <f>F19-F21</f>
        <v>-17.71</v>
      </c>
      <c r="G22" s="7">
        <f>F19-G21</f>
        <v>-14.030000000000001</v>
      </c>
      <c r="H22" s="16"/>
      <c r="I22" s="7">
        <f>I19-I21</f>
        <v>-27.29</v>
      </c>
      <c r="J22" s="7">
        <f>I19-J21</f>
        <v>-14.500000000000002</v>
      </c>
      <c r="K22" s="16"/>
      <c r="L22" s="7">
        <f>L19-L21</f>
        <v>-18.730000000000004</v>
      </c>
      <c r="M22" s="7">
        <f>L19-M21</f>
        <v>-16.970000000000002</v>
      </c>
      <c r="N22" s="16"/>
      <c r="O22" s="7">
        <f>O19-O21</f>
        <v>-30.230000000000004</v>
      </c>
      <c r="P22" s="7">
        <f>O19-P21</f>
        <v>-17.440000000000001</v>
      </c>
      <c r="Q22" s="16"/>
      <c r="R22" s="7">
        <f>R19-R21</f>
        <v>-30.700000000000003</v>
      </c>
      <c r="S22" s="7">
        <f>R19-S21</f>
        <v>-17.91</v>
      </c>
      <c r="T22" s="16"/>
      <c r="U22" s="7">
        <f>U19-U21</f>
        <v>-30.380000000000003</v>
      </c>
      <c r="V22" s="7">
        <f>U19-V21</f>
        <v>-18.43</v>
      </c>
      <c r="W22" s="16"/>
      <c r="X22" s="7">
        <f>X19-X21</f>
        <v>-29.65</v>
      </c>
      <c r="Y22" s="7">
        <f>X19-Y21</f>
        <v>-19.04</v>
      </c>
      <c r="Z22" s="16"/>
      <c r="AA22" s="7">
        <f>AA19-AA21</f>
        <v>-30.259999999999998</v>
      </c>
      <c r="AB22" s="7">
        <f>AA19-AB21</f>
        <v>-19.649999999999999</v>
      </c>
      <c r="AC22" s="18"/>
    </row>
    <row r="23" spans="3:31" x14ac:dyDescent="0.25">
      <c r="C23" s="14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8"/>
    </row>
    <row r="24" spans="3:31" x14ac:dyDescent="0.25">
      <c r="C24" s="14"/>
      <c r="D24" s="33" t="s">
        <v>23</v>
      </c>
      <c r="E24" s="16"/>
      <c r="F24" s="37" t="s">
        <v>30</v>
      </c>
      <c r="G24" s="38"/>
      <c r="H24" s="16"/>
      <c r="I24" s="37" t="s">
        <v>6</v>
      </c>
      <c r="J24" s="38"/>
      <c r="K24" s="16"/>
      <c r="L24" s="37" t="s">
        <v>7</v>
      </c>
      <c r="M24" s="38"/>
      <c r="N24" s="16"/>
      <c r="O24" s="37" t="s">
        <v>8</v>
      </c>
      <c r="P24" s="38"/>
      <c r="Q24" s="16"/>
      <c r="R24" s="37" t="s">
        <v>9</v>
      </c>
      <c r="S24" s="38"/>
      <c r="T24" s="16"/>
      <c r="U24" s="37" t="s">
        <v>10</v>
      </c>
      <c r="V24" s="38"/>
      <c r="W24" s="16"/>
      <c r="X24" s="37" t="s">
        <v>11</v>
      </c>
      <c r="Y24" s="38"/>
      <c r="Z24" s="16"/>
      <c r="AA24" s="37" t="s">
        <v>12</v>
      </c>
      <c r="AB24" s="38"/>
      <c r="AC24" s="18"/>
    </row>
    <row r="25" spans="3:31" x14ac:dyDescent="0.25">
      <c r="C25" s="14"/>
      <c r="D25" s="20" t="s">
        <v>20</v>
      </c>
      <c r="E25" s="16"/>
      <c r="F25" s="39">
        <v>4</v>
      </c>
      <c r="G25" s="40"/>
      <c r="H25" s="16"/>
      <c r="I25" s="41">
        <v>2</v>
      </c>
      <c r="J25" s="42"/>
      <c r="K25" s="16"/>
      <c r="L25" s="41">
        <v>8</v>
      </c>
      <c r="M25" s="42"/>
      <c r="N25" s="16"/>
      <c r="O25" s="41">
        <v>8</v>
      </c>
      <c r="P25" s="42"/>
      <c r="Q25" s="16"/>
      <c r="R25" s="41">
        <v>8</v>
      </c>
      <c r="S25" s="42"/>
      <c r="T25" s="16"/>
      <c r="U25" s="41">
        <v>8</v>
      </c>
      <c r="V25" s="42"/>
      <c r="W25" s="16"/>
      <c r="X25" s="41">
        <v>8</v>
      </c>
      <c r="Y25" s="42"/>
      <c r="Z25" s="16"/>
      <c r="AA25" s="41">
        <v>8</v>
      </c>
      <c r="AB25" s="42"/>
      <c r="AC25" s="18"/>
    </row>
    <row r="26" spans="3:31" ht="15" customHeight="1" x14ac:dyDescent="0.25">
      <c r="C26" s="14"/>
      <c r="D26" s="52" t="s">
        <v>13</v>
      </c>
      <c r="E26" s="16"/>
      <c r="F26" s="43">
        <f>F22-F29</f>
        <v>-24.71</v>
      </c>
      <c r="G26" s="44"/>
      <c r="H26" s="16"/>
      <c r="I26" s="43">
        <f>I22-I29</f>
        <v>-30.29</v>
      </c>
      <c r="J26" s="44"/>
      <c r="K26" s="16"/>
      <c r="L26" s="43">
        <f>L22-L29</f>
        <v>-28.730000000000004</v>
      </c>
      <c r="M26" s="44"/>
      <c r="N26" s="16"/>
      <c r="O26" s="43">
        <f>O22-O29</f>
        <v>-40.230000000000004</v>
      </c>
      <c r="P26" s="44"/>
      <c r="Q26" s="16"/>
      <c r="R26" s="43">
        <f>R22-R29</f>
        <v>-40.700000000000003</v>
      </c>
      <c r="S26" s="44"/>
      <c r="T26" s="16"/>
      <c r="U26" s="43">
        <f>U22-U29</f>
        <v>-40.380000000000003</v>
      </c>
      <c r="V26" s="44"/>
      <c r="W26" s="16"/>
      <c r="X26" s="43">
        <f>X22-X29</f>
        <v>-39.65</v>
      </c>
      <c r="Y26" s="44"/>
      <c r="Z26" s="16"/>
      <c r="AA26" s="43">
        <f>AA22-AA29</f>
        <v>-40.26</v>
      </c>
      <c r="AB26" s="44"/>
      <c r="AC26" s="18"/>
    </row>
    <row r="27" spans="3:31" ht="15" customHeight="1" x14ac:dyDescent="0.25">
      <c r="C27" s="14"/>
      <c r="D27" s="53"/>
      <c r="E27" s="16"/>
      <c r="F27" s="45"/>
      <c r="G27" s="46"/>
      <c r="H27" s="16"/>
      <c r="I27" s="45"/>
      <c r="J27" s="46"/>
      <c r="K27" s="16"/>
      <c r="L27" s="45"/>
      <c r="M27" s="46"/>
      <c r="N27" s="16"/>
      <c r="O27" s="45"/>
      <c r="P27" s="46"/>
      <c r="Q27" s="16"/>
      <c r="R27" s="45"/>
      <c r="S27" s="46"/>
      <c r="T27" s="16"/>
      <c r="U27" s="45"/>
      <c r="V27" s="46"/>
      <c r="W27" s="16"/>
      <c r="X27" s="45"/>
      <c r="Y27" s="46"/>
      <c r="Z27" s="16"/>
      <c r="AA27" s="45"/>
      <c r="AB27" s="46"/>
      <c r="AC27" s="18"/>
      <c r="AE27" s="8"/>
    </row>
    <row r="28" spans="3:31" ht="15" customHeight="1" x14ac:dyDescent="0.25">
      <c r="C28" s="14"/>
      <c r="D28" s="54"/>
      <c r="E28" s="16"/>
      <c r="F28" s="47"/>
      <c r="G28" s="48"/>
      <c r="H28" s="16"/>
      <c r="I28" s="47"/>
      <c r="J28" s="48"/>
      <c r="K28" s="16"/>
      <c r="L28" s="47"/>
      <c r="M28" s="48"/>
      <c r="N28" s="16"/>
      <c r="O28" s="47"/>
      <c r="P28" s="48"/>
      <c r="Q28" s="16"/>
      <c r="R28" s="47"/>
      <c r="S28" s="48"/>
      <c r="T28" s="16"/>
      <c r="U28" s="47"/>
      <c r="V28" s="48"/>
      <c r="W28" s="16"/>
      <c r="X28" s="47"/>
      <c r="Y28" s="48"/>
      <c r="Z28" s="16"/>
      <c r="AA28" s="47"/>
      <c r="AB28" s="48"/>
      <c r="AC28" s="18"/>
      <c r="AE28" s="8"/>
    </row>
    <row r="29" spans="3:31" x14ac:dyDescent="0.25">
      <c r="C29" s="14"/>
      <c r="D29" s="20" t="s">
        <v>21</v>
      </c>
      <c r="E29" s="16"/>
      <c r="F29" s="55">
        <f>VLOOKUP(F25,Sheet3!D3:E8,2)</f>
        <v>7</v>
      </c>
      <c r="G29" s="56"/>
      <c r="H29" s="16"/>
      <c r="I29" s="57">
        <f>VLOOKUP(I25,Sheet3!D3:E8,2)</f>
        <v>3</v>
      </c>
      <c r="J29" s="58"/>
      <c r="K29" s="16"/>
      <c r="L29" s="57">
        <f>VLOOKUP(L25,Sheet3!D3:E8,2)</f>
        <v>10</v>
      </c>
      <c r="M29" s="58"/>
      <c r="N29" s="16"/>
      <c r="O29" s="57">
        <f>VLOOKUP(O25,Sheet3!D3:E8,2)</f>
        <v>10</v>
      </c>
      <c r="P29" s="58"/>
      <c r="Q29" s="16"/>
      <c r="R29" s="57">
        <f>VLOOKUP(R25,Sheet3!D3:E8,2)</f>
        <v>10</v>
      </c>
      <c r="S29" s="58"/>
      <c r="T29" s="16"/>
      <c r="U29" s="57">
        <f>VLOOKUP(U25,Sheet3!D3:E8,2)</f>
        <v>10</v>
      </c>
      <c r="V29" s="58"/>
      <c r="W29" s="16"/>
      <c r="X29" s="57">
        <f>VLOOKUP(X25,Sheet3!D3:E8,2)</f>
        <v>10</v>
      </c>
      <c r="Y29" s="58"/>
      <c r="Z29" s="16"/>
      <c r="AA29" s="57">
        <f>VLOOKUP(AA25,Sheet3!D3:E8,2)</f>
        <v>10</v>
      </c>
      <c r="AB29" s="58"/>
      <c r="AC29" s="18"/>
      <c r="AE29" s="8"/>
    </row>
    <row r="30" spans="3:31" x14ac:dyDescent="0.25">
      <c r="C30" s="15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9"/>
      <c r="AE30" s="8"/>
    </row>
    <row r="31" spans="3:31" s="8" customFormat="1" x14ac:dyDescent="0.25"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3:31" x14ac:dyDescent="0.25">
      <c r="D32" s="4" t="s">
        <v>22</v>
      </c>
      <c r="E32" s="21" t="s">
        <v>16</v>
      </c>
      <c r="F32" s="49">
        <v>1</v>
      </c>
      <c r="G32" s="50"/>
      <c r="H32" s="50"/>
      <c r="I32" s="51"/>
      <c r="U32" s="4" t="s">
        <v>24</v>
      </c>
      <c r="W32" s="4" t="s">
        <v>16</v>
      </c>
      <c r="X32" s="4" t="s">
        <v>25</v>
      </c>
      <c r="AE32" s="8"/>
    </row>
    <row r="33" spans="4:31" x14ac:dyDescent="0.25">
      <c r="D33" s="4" t="s">
        <v>17</v>
      </c>
      <c r="E33" s="21" t="s">
        <v>16</v>
      </c>
      <c r="F33" s="49" t="s">
        <v>27</v>
      </c>
      <c r="G33" s="50"/>
      <c r="H33" s="50"/>
      <c r="I33" s="51"/>
      <c r="X33" s="4" t="s">
        <v>26</v>
      </c>
    </row>
    <row r="34" spans="4:31" x14ac:dyDescent="0.25">
      <c r="D34" s="4" t="s">
        <v>18</v>
      </c>
      <c r="E34" s="21" t="s">
        <v>16</v>
      </c>
      <c r="F34" s="28" t="s">
        <v>28</v>
      </c>
      <c r="G34" s="29"/>
      <c r="H34" s="29"/>
      <c r="I34" s="30"/>
    </row>
    <row r="35" spans="4:31" x14ac:dyDescent="0.25">
      <c r="D35" s="4" t="s">
        <v>19</v>
      </c>
      <c r="E35" s="21" t="s">
        <v>16</v>
      </c>
      <c r="F35" s="28" t="s">
        <v>29</v>
      </c>
      <c r="G35" s="29"/>
      <c r="H35" s="29"/>
      <c r="I35" s="30"/>
      <c r="J35" s="9"/>
      <c r="AE35" s="8"/>
    </row>
  </sheetData>
  <mergeCells count="85">
    <mergeCell ref="U29:V29"/>
    <mergeCell ref="X29:Y29"/>
    <mergeCell ref="AA29:AB29"/>
    <mergeCell ref="F29:G29"/>
    <mergeCell ref="I29:J29"/>
    <mergeCell ref="L29:M29"/>
    <mergeCell ref="O29:P29"/>
    <mergeCell ref="R29:S29"/>
    <mergeCell ref="U25:V25"/>
    <mergeCell ref="X25:Y25"/>
    <mergeCell ref="AA25:AB25"/>
    <mergeCell ref="D26:D28"/>
    <mergeCell ref="F26:G28"/>
    <mergeCell ref="I26:J28"/>
    <mergeCell ref="L26:M28"/>
    <mergeCell ref="O26:P28"/>
    <mergeCell ref="R26:S28"/>
    <mergeCell ref="U26:V28"/>
    <mergeCell ref="X26:Y28"/>
    <mergeCell ref="AA26:AB28"/>
    <mergeCell ref="F25:G25"/>
    <mergeCell ref="I25:J25"/>
    <mergeCell ref="L25:M25"/>
    <mergeCell ref="O25:P25"/>
    <mergeCell ref="R25:S25"/>
    <mergeCell ref="U19:V19"/>
    <mergeCell ref="X19:Y19"/>
    <mergeCell ref="AA19:AB19"/>
    <mergeCell ref="F24:G24"/>
    <mergeCell ref="I24:J24"/>
    <mergeCell ref="L24:M24"/>
    <mergeCell ref="O24:P24"/>
    <mergeCell ref="R24:S24"/>
    <mergeCell ref="U24:V24"/>
    <mergeCell ref="X24:Y24"/>
    <mergeCell ref="AA24:AB24"/>
    <mergeCell ref="F19:G19"/>
    <mergeCell ref="I19:J19"/>
    <mergeCell ref="L19:M19"/>
    <mergeCell ref="O19:P19"/>
    <mergeCell ref="R19:S19"/>
    <mergeCell ref="F33:I33"/>
    <mergeCell ref="F32:I32"/>
    <mergeCell ref="D12:D14"/>
    <mergeCell ref="X12:Y14"/>
    <mergeCell ref="AA12:AB14"/>
    <mergeCell ref="F15:G15"/>
    <mergeCell ref="I15:J15"/>
    <mergeCell ref="L15:M15"/>
    <mergeCell ref="O15:P15"/>
    <mergeCell ref="R15:S15"/>
    <mergeCell ref="U15:V15"/>
    <mergeCell ref="X15:Y15"/>
    <mergeCell ref="AA15:AB15"/>
    <mergeCell ref="F12:G14"/>
    <mergeCell ref="I12:J14"/>
    <mergeCell ref="L12:M14"/>
    <mergeCell ref="O12:P14"/>
    <mergeCell ref="R12:S14"/>
    <mergeCell ref="U12:V14"/>
    <mergeCell ref="X10:Y10"/>
    <mergeCell ref="AA10:AB10"/>
    <mergeCell ref="U11:V11"/>
    <mergeCell ref="X11:Y11"/>
    <mergeCell ref="AA11:AB11"/>
    <mergeCell ref="U10:V10"/>
    <mergeCell ref="F11:G11"/>
    <mergeCell ref="I11:J11"/>
    <mergeCell ref="L11:M11"/>
    <mergeCell ref="O11:P11"/>
    <mergeCell ref="R11:S11"/>
    <mergeCell ref="F10:G10"/>
    <mergeCell ref="I10:J10"/>
    <mergeCell ref="L10:M10"/>
    <mergeCell ref="O10:P10"/>
    <mergeCell ref="R10:S10"/>
    <mergeCell ref="D2:AB2"/>
    <mergeCell ref="F5:G5"/>
    <mergeCell ref="I5:J5"/>
    <mergeCell ref="L5:M5"/>
    <mergeCell ref="O5:P5"/>
    <mergeCell ref="R5:S5"/>
    <mergeCell ref="U5:V5"/>
    <mergeCell ref="X5:Y5"/>
    <mergeCell ref="AA5:AB5"/>
  </mergeCells>
  <pageMargins left="0.25" right="0.25" top="0.5" bottom="0.5" header="0.3" footer="0.3"/>
  <pageSetup paperSize="5" orientation="landscape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Sheet3!$D$3:$D$8</xm:f>
          </x14:formula1>
          <xm:sqref>F11 I11 L11 O11 R11 U11 X11 AA11 F25 I25 L25 O25 R25 U25 X25 AA25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AC25"/>
  <sheetViews>
    <sheetView showGridLines="0" workbookViewId="0">
      <selection activeCell="I9" sqref="I9:J9"/>
    </sheetView>
  </sheetViews>
  <sheetFormatPr defaultRowHeight="15" x14ac:dyDescent="0.25"/>
  <cols>
    <col min="1" max="2" width="9.140625" style="4"/>
    <col min="3" max="3" width="2.7109375" style="4" customWidth="1"/>
    <col min="4" max="4" width="14.140625" style="4" bestFit="1" customWidth="1"/>
    <col min="5" max="5" width="2.7109375" style="4" customWidth="1"/>
    <col min="6" max="7" width="6.28515625" style="4" customWidth="1"/>
    <col min="8" max="8" width="2.7109375" style="4" customWidth="1"/>
    <col min="9" max="10" width="6.28515625" style="4" customWidth="1"/>
    <col min="11" max="11" width="2.7109375" style="4" customWidth="1"/>
    <col min="12" max="13" width="6.28515625" style="4" customWidth="1"/>
    <col min="14" max="14" width="2.7109375" style="4" customWidth="1"/>
    <col min="15" max="16" width="6.28515625" style="4" customWidth="1"/>
    <col min="17" max="17" width="2.7109375" style="4" customWidth="1"/>
    <col min="18" max="19" width="6.28515625" style="4" customWidth="1"/>
    <col min="20" max="20" width="2.7109375" style="4" customWidth="1"/>
    <col min="21" max="22" width="6.28515625" style="4" customWidth="1"/>
    <col min="23" max="23" width="2.7109375" style="4" customWidth="1"/>
    <col min="24" max="25" width="6.28515625" style="4" customWidth="1"/>
    <col min="26" max="26" width="2.7109375" style="4" customWidth="1"/>
    <col min="27" max="28" width="6.28515625" style="4" customWidth="1"/>
    <col min="29" max="29" width="2.7109375" style="4" customWidth="1"/>
    <col min="30" max="16384" width="9.140625" style="4"/>
  </cols>
  <sheetData>
    <row r="2" spans="3:29" x14ac:dyDescent="0.25">
      <c r="D2" s="34" t="s">
        <v>15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</row>
    <row r="3" spans="3:29" x14ac:dyDescent="0.25"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V3" s="21"/>
      <c r="X3" s="27"/>
      <c r="Y3" s="27"/>
      <c r="Z3" s="27"/>
      <c r="AA3" s="27"/>
      <c r="AB3" s="27"/>
    </row>
    <row r="4" spans="3:29" x14ac:dyDescent="0.25"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V4" s="21"/>
      <c r="X4" s="27"/>
      <c r="Y4" s="27"/>
      <c r="Z4" s="27"/>
      <c r="AA4" s="27"/>
      <c r="AB4" s="27"/>
    </row>
    <row r="5" spans="3:29" x14ac:dyDescent="0.25">
      <c r="D5" s="31" t="s">
        <v>22</v>
      </c>
      <c r="E5" s="27" t="s">
        <v>16</v>
      </c>
      <c r="F5" s="31">
        <f>'Aplikasi Hitung'!F32:I32</f>
        <v>1</v>
      </c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4" t="s">
        <v>18</v>
      </c>
      <c r="W5" s="21" t="s">
        <v>16</v>
      </c>
      <c r="X5" s="32" t="str">
        <f>'Aplikasi Hitung'!F34</f>
        <v>Kulon</v>
      </c>
      <c r="Y5" s="27"/>
      <c r="Z5" s="27"/>
      <c r="AA5" s="27"/>
      <c r="AB5" s="27"/>
    </row>
    <row r="6" spans="3:29" x14ac:dyDescent="0.25">
      <c r="D6" s="4" t="s">
        <v>17</v>
      </c>
      <c r="E6" s="27" t="s">
        <v>16</v>
      </c>
      <c r="F6" s="32" t="str">
        <f>'Aplikasi Hitung'!F33</f>
        <v>Jl.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4" t="s">
        <v>19</v>
      </c>
      <c r="W6" s="21" t="s">
        <v>16</v>
      </c>
      <c r="X6" s="32" t="str">
        <f>'Aplikasi Hitung'!F35</f>
        <v>Wetan</v>
      </c>
      <c r="Y6" s="8"/>
      <c r="Z6" s="8"/>
      <c r="AA6" s="8"/>
      <c r="AB6" s="8"/>
    </row>
    <row r="7" spans="3:29" x14ac:dyDescent="0.25">
      <c r="E7" s="27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W7" s="21"/>
      <c r="Y7" s="8"/>
      <c r="Z7" s="8"/>
      <c r="AA7" s="8"/>
      <c r="AB7" s="8"/>
    </row>
    <row r="8" spans="3:29" x14ac:dyDescent="0.25"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</row>
    <row r="9" spans="3:29" x14ac:dyDescent="0.25">
      <c r="C9" s="10"/>
      <c r="D9" s="10" t="s">
        <v>0</v>
      </c>
      <c r="E9" s="10"/>
      <c r="F9" s="59">
        <f>'Aplikasi Hitung'!F5:G5</f>
        <v>-5</v>
      </c>
      <c r="G9" s="59"/>
      <c r="H9" s="22"/>
      <c r="I9" s="60">
        <f>'Aplikasi Hitung'!I5:J5</f>
        <v>-7.4700000000000006</v>
      </c>
      <c r="J9" s="60"/>
      <c r="K9" s="22"/>
      <c r="L9" s="60">
        <f>'Aplikasi Hitung'!L5:M5</f>
        <v>-7.94</v>
      </c>
      <c r="M9" s="60"/>
      <c r="N9" s="22"/>
      <c r="O9" s="60">
        <f>'Aplikasi Hitung'!O5:P5</f>
        <v>-8.41</v>
      </c>
      <c r="P9" s="60"/>
      <c r="Q9" s="22"/>
      <c r="R9" s="60">
        <f>'Aplikasi Hitung'!R5:S5</f>
        <v>-10.210000000000001</v>
      </c>
      <c r="S9" s="60"/>
      <c r="T9" s="22"/>
      <c r="U9" s="60">
        <f>'Aplikasi Hitung'!U5:V5</f>
        <v>-12.010000000000002</v>
      </c>
      <c r="V9" s="60"/>
      <c r="W9" s="22"/>
      <c r="X9" s="60">
        <f>'Aplikasi Hitung'!X5:Y5</f>
        <v>-14.480000000000002</v>
      </c>
      <c r="Y9" s="60"/>
      <c r="Z9" s="22"/>
      <c r="AA9" s="60">
        <f>'Aplikasi Hitung'!AA5:AB5</f>
        <v>-17.740000000000002</v>
      </c>
      <c r="AB9" s="60"/>
      <c r="AC9" s="10"/>
    </row>
    <row r="10" spans="3:29" x14ac:dyDescent="0.25">
      <c r="C10" s="10"/>
      <c r="D10" s="10" t="s">
        <v>2</v>
      </c>
      <c r="E10" s="10"/>
      <c r="F10" s="23">
        <f>'Aplikasi Hitung'!F6</f>
        <v>40</v>
      </c>
      <c r="G10" s="23">
        <f>'Aplikasi Hitung'!G6</f>
        <v>60</v>
      </c>
      <c r="H10" s="24"/>
      <c r="I10" s="23">
        <f>'Aplikasi Hitung'!I6</f>
        <v>5</v>
      </c>
      <c r="J10" s="23">
        <f>'Aplikasi Hitung'!J6</f>
        <v>95</v>
      </c>
      <c r="K10" s="24"/>
      <c r="L10" s="23">
        <f>'Aplikasi Hitung'!L6</f>
        <v>5</v>
      </c>
      <c r="M10" s="23">
        <f>'Aplikasi Hitung'!M6</f>
        <v>95</v>
      </c>
      <c r="N10" s="24"/>
      <c r="O10" s="23">
        <f>'Aplikasi Hitung'!O6</f>
        <v>30</v>
      </c>
      <c r="P10" s="23">
        <f>'Aplikasi Hitung'!P6</f>
        <v>70</v>
      </c>
      <c r="Q10" s="24"/>
      <c r="R10" s="23">
        <f>'Aplikasi Hitung'!R6</f>
        <v>30</v>
      </c>
      <c r="S10" s="23">
        <f>'Aplikasi Hitung'!S6</f>
        <v>70</v>
      </c>
      <c r="T10" s="24"/>
      <c r="U10" s="23">
        <f>'Aplikasi Hitung'!U6</f>
        <v>40</v>
      </c>
      <c r="V10" s="23">
        <f>'Aplikasi Hitung'!V6</f>
        <v>60</v>
      </c>
      <c r="W10" s="24"/>
      <c r="X10" s="23">
        <f>'Aplikasi Hitung'!X6</f>
        <v>50</v>
      </c>
      <c r="Y10" s="23">
        <f>'Aplikasi Hitung'!Y6</f>
        <v>50</v>
      </c>
      <c r="Z10" s="24"/>
      <c r="AA10" s="23">
        <f>'Aplikasi Hitung'!AA6</f>
        <v>8</v>
      </c>
      <c r="AB10" s="23">
        <f>'Aplikasi Hitung'!AB6</f>
        <v>92</v>
      </c>
      <c r="AC10" s="10"/>
    </row>
    <row r="11" spans="3:29" x14ac:dyDescent="0.25">
      <c r="C11" s="10"/>
      <c r="D11" s="10" t="s">
        <v>1</v>
      </c>
      <c r="E11" s="10"/>
      <c r="F11" s="25">
        <f>'Aplikasi Hitung'!F7</f>
        <v>4.2300000000000004</v>
      </c>
      <c r="G11" s="25">
        <f>'Aplikasi Hitung'!G7</f>
        <v>2.4700000000000002</v>
      </c>
      <c r="H11" s="26"/>
      <c r="I11" s="25">
        <f>'Aplikasi Hitung'!I7</f>
        <v>13.26</v>
      </c>
      <c r="J11" s="25">
        <f>'Aplikasi Hitung'!J7</f>
        <v>0.47</v>
      </c>
      <c r="K11" s="26"/>
      <c r="L11" s="25">
        <f>'Aplikasi Hitung'!L7</f>
        <v>13.26</v>
      </c>
      <c r="M11" s="25">
        <f>'Aplikasi Hitung'!M7</f>
        <v>0.47</v>
      </c>
      <c r="N11" s="26"/>
      <c r="O11" s="25">
        <f>'Aplikasi Hitung'!O7</f>
        <v>5.48</v>
      </c>
      <c r="P11" s="25">
        <f>'Aplikasi Hitung'!P7</f>
        <v>1.8</v>
      </c>
      <c r="Q11" s="26"/>
      <c r="R11" s="25">
        <f>'Aplikasi Hitung'!R7</f>
        <v>5.48</v>
      </c>
      <c r="S11" s="25">
        <f>'Aplikasi Hitung'!S7</f>
        <v>1.8</v>
      </c>
      <c r="T11" s="26"/>
      <c r="U11" s="25">
        <f>'Aplikasi Hitung'!U7</f>
        <v>4.2300000000000004</v>
      </c>
      <c r="V11" s="25">
        <f>'Aplikasi Hitung'!V7</f>
        <v>2.4700000000000002</v>
      </c>
      <c r="W11" s="26"/>
      <c r="X11" s="25">
        <f>'Aplikasi Hitung'!X7</f>
        <v>3.26</v>
      </c>
      <c r="Y11" s="25">
        <f>'Aplikasi Hitung'!Y7</f>
        <v>3.26</v>
      </c>
      <c r="Z11" s="26"/>
      <c r="AA11" s="25">
        <f>'Aplikasi Hitung'!AA7</f>
        <v>11.22</v>
      </c>
      <c r="AB11" s="25">
        <f>'Aplikasi Hitung'!AB7</f>
        <v>0.61</v>
      </c>
      <c r="AC11" s="10"/>
    </row>
    <row r="12" spans="3:29" x14ac:dyDescent="0.25">
      <c r="C12" s="10"/>
      <c r="D12" s="10" t="s">
        <v>14</v>
      </c>
      <c r="E12" s="10"/>
      <c r="F12" s="25">
        <f>'Aplikasi Hitung'!F8</f>
        <v>-9.23</v>
      </c>
      <c r="G12" s="25">
        <f>'Aplikasi Hitung'!G8</f>
        <v>-7.4700000000000006</v>
      </c>
      <c r="H12" s="26"/>
      <c r="I12" s="25">
        <f>'Aplikasi Hitung'!I8</f>
        <v>-20.73</v>
      </c>
      <c r="J12" s="25">
        <f>'Aplikasi Hitung'!J8</f>
        <v>-7.94</v>
      </c>
      <c r="K12" s="26"/>
      <c r="L12" s="25">
        <f>'Aplikasi Hitung'!L8</f>
        <v>-21.2</v>
      </c>
      <c r="M12" s="25">
        <f>'Aplikasi Hitung'!M8</f>
        <v>-8.41</v>
      </c>
      <c r="N12" s="26"/>
      <c r="O12" s="25">
        <f>'Aplikasi Hitung'!O8</f>
        <v>-13.89</v>
      </c>
      <c r="P12" s="25">
        <f>'Aplikasi Hitung'!P8</f>
        <v>-10.210000000000001</v>
      </c>
      <c r="Q12" s="26"/>
      <c r="R12" s="25">
        <f>'Aplikasi Hitung'!R8</f>
        <v>-15.690000000000001</v>
      </c>
      <c r="S12" s="25">
        <f>'Aplikasi Hitung'!S8</f>
        <v>-12.010000000000002</v>
      </c>
      <c r="T12" s="26"/>
      <c r="U12" s="25">
        <f>'Aplikasi Hitung'!U8</f>
        <v>-16.240000000000002</v>
      </c>
      <c r="V12" s="25">
        <f>'Aplikasi Hitung'!V8</f>
        <v>-14.480000000000002</v>
      </c>
      <c r="W12" s="26"/>
      <c r="X12" s="25">
        <f>'Aplikasi Hitung'!X8</f>
        <v>-17.740000000000002</v>
      </c>
      <c r="Y12" s="25">
        <f>'Aplikasi Hitung'!Y8</f>
        <v>-17.740000000000002</v>
      </c>
      <c r="Z12" s="26"/>
      <c r="AA12" s="25">
        <f>'Aplikasi Hitung'!AA8</f>
        <v>-28.96</v>
      </c>
      <c r="AB12" s="25">
        <f>'Aplikasi Hitung'!AB8</f>
        <v>-18.350000000000001</v>
      </c>
      <c r="AC12" s="10"/>
    </row>
    <row r="13" spans="3:29" x14ac:dyDescent="0.25">
      <c r="C13" s="10"/>
      <c r="D13" s="10"/>
      <c r="E13" s="10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10"/>
    </row>
    <row r="14" spans="3:29" x14ac:dyDescent="0.25">
      <c r="C14" s="10"/>
      <c r="D14" s="10" t="s">
        <v>23</v>
      </c>
      <c r="E14" s="10"/>
      <c r="F14" s="61" t="s">
        <v>5</v>
      </c>
      <c r="G14" s="61"/>
      <c r="H14" s="22"/>
      <c r="I14" s="61" t="s">
        <v>6</v>
      </c>
      <c r="J14" s="61"/>
      <c r="K14" s="22"/>
      <c r="L14" s="61" t="s">
        <v>7</v>
      </c>
      <c r="M14" s="61"/>
      <c r="N14" s="22"/>
      <c r="O14" s="61" t="s">
        <v>8</v>
      </c>
      <c r="P14" s="61"/>
      <c r="Q14" s="22"/>
      <c r="R14" s="61" t="s">
        <v>9</v>
      </c>
      <c r="S14" s="61"/>
      <c r="T14" s="22"/>
      <c r="U14" s="61" t="s">
        <v>10</v>
      </c>
      <c r="V14" s="61"/>
      <c r="W14" s="22"/>
      <c r="X14" s="61" t="s">
        <v>11</v>
      </c>
      <c r="Y14" s="61"/>
      <c r="Z14" s="22"/>
      <c r="AA14" s="61" t="s">
        <v>12</v>
      </c>
      <c r="AB14" s="61"/>
      <c r="AC14" s="10"/>
    </row>
    <row r="15" spans="3:29" x14ac:dyDescent="0.25">
      <c r="C15" s="10"/>
      <c r="D15" s="10" t="s">
        <v>20</v>
      </c>
      <c r="E15" s="10"/>
      <c r="F15" s="64">
        <f>'Aplikasi Hitung'!F11</f>
        <v>2</v>
      </c>
      <c r="G15" s="65"/>
      <c r="H15" s="22"/>
      <c r="I15" s="64">
        <f>'Aplikasi Hitung'!I11</f>
        <v>2</v>
      </c>
      <c r="J15" s="65"/>
      <c r="K15" s="22"/>
      <c r="L15" s="64">
        <f>'Aplikasi Hitung'!L11</f>
        <v>2</v>
      </c>
      <c r="M15" s="65"/>
      <c r="N15" s="22"/>
      <c r="O15" s="64">
        <f>'Aplikasi Hitung'!O11</f>
        <v>8</v>
      </c>
      <c r="P15" s="65"/>
      <c r="Q15" s="22"/>
      <c r="R15" s="64">
        <f>'Aplikasi Hitung'!R11</f>
        <v>4</v>
      </c>
      <c r="S15" s="65"/>
      <c r="T15" s="22"/>
      <c r="U15" s="64">
        <f>'Aplikasi Hitung'!U11</f>
        <v>4</v>
      </c>
      <c r="V15" s="65"/>
      <c r="W15" s="22"/>
      <c r="X15" s="64">
        <f>'Aplikasi Hitung'!X11</f>
        <v>4</v>
      </c>
      <c r="Y15" s="65"/>
      <c r="Z15" s="22"/>
      <c r="AA15" s="64">
        <f>'Aplikasi Hitung'!AA11</f>
        <v>8</v>
      </c>
      <c r="AB15" s="65"/>
      <c r="AC15" s="10"/>
    </row>
    <row r="16" spans="3:29" ht="15" customHeight="1" x14ac:dyDescent="0.25">
      <c r="C16" s="10"/>
      <c r="D16" s="66" t="s">
        <v>13</v>
      </c>
      <c r="E16" s="10"/>
      <c r="F16" s="63">
        <f>'Aplikasi Hitung'!F12</f>
        <v>-12.23</v>
      </c>
      <c r="G16" s="63"/>
      <c r="H16" s="22"/>
      <c r="I16" s="63">
        <f>'Aplikasi Hitung'!I12</f>
        <v>-23.73</v>
      </c>
      <c r="J16" s="63"/>
      <c r="K16" s="22"/>
      <c r="L16" s="63">
        <f>'Aplikasi Hitung'!L12</f>
        <v>-24.2</v>
      </c>
      <c r="M16" s="63"/>
      <c r="N16" s="22"/>
      <c r="O16" s="63">
        <f>'Aplikasi Hitung'!O12</f>
        <v>-23.89</v>
      </c>
      <c r="P16" s="63"/>
      <c r="Q16" s="22"/>
      <c r="R16" s="63">
        <f>'Aplikasi Hitung'!R12</f>
        <v>-22.69</v>
      </c>
      <c r="S16" s="63"/>
      <c r="T16" s="22"/>
      <c r="U16" s="63">
        <f>'Aplikasi Hitung'!U12</f>
        <v>-23.240000000000002</v>
      </c>
      <c r="V16" s="63"/>
      <c r="W16" s="22"/>
      <c r="X16" s="63">
        <f>'Aplikasi Hitung'!X12</f>
        <v>-24.740000000000002</v>
      </c>
      <c r="Y16" s="63"/>
      <c r="Z16" s="22"/>
      <c r="AA16" s="63">
        <f>'Aplikasi Hitung'!AA12</f>
        <v>-38.96</v>
      </c>
      <c r="AB16" s="63"/>
      <c r="AC16" s="10"/>
    </row>
    <row r="17" spans="3:29" ht="15" customHeight="1" x14ac:dyDescent="0.25">
      <c r="C17" s="10"/>
      <c r="D17" s="66"/>
      <c r="E17" s="10"/>
      <c r="F17" s="63"/>
      <c r="G17" s="63"/>
      <c r="H17" s="22"/>
      <c r="I17" s="63"/>
      <c r="J17" s="63"/>
      <c r="K17" s="22"/>
      <c r="L17" s="63"/>
      <c r="M17" s="63"/>
      <c r="N17" s="22"/>
      <c r="O17" s="63"/>
      <c r="P17" s="63"/>
      <c r="Q17" s="22"/>
      <c r="R17" s="63"/>
      <c r="S17" s="63"/>
      <c r="T17" s="22"/>
      <c r="U17" s="63"/>
      <c r="V17" s="63"/>
      <c r="W17" s="22"/>
      <c r="X17" s="63"/>
      <c r="Y17" s="63"/>
      <c r="Z17" s="22"/>
      <c r="AA17" s="63"/>
      <c r="AB17" s="63"/>
      <c r="AC17" s="10"/>
    </row>
    <row r="18" spans="3:29" ht="15" customHeight="1" x14ac:dyDescent="0.25">
      <c r="C18" s="10"/>
      <c r="D18" s="66"/>
      <c r="E18" s="10"/>
      <c r="F18" s="63"/>
      <c r="G18" s="63"/>
      <c r="H18" s="22"/>
      <c r="I18" s="63"/>
      <c r="J18" s="63"/>
      <c r="K18" s="22"/>
      <c r="L18" s="63"/>
      <c r="M18" s="63"/>
      <c r="N18" s="22"/>
      <c r="O18" s="63"/>
      <c r="P18" s="63"/>
      <c r="Q18" s="22"/>
      <c r="R18" s="63"/>
      <c r="S18" s="63"/>
      <c r="T18" s="22"/>
      <c r="U18" s="63"/>
      <c r="V18" s="63"/>
      <c r="W18" s="22"/>
      <c r="X18" s="63"/>
      <c r="Y18" s="63"/>
      <c r="Z18" s="22"/>
      <c r="AA18" s="63"/>
      <c r="AB18" s="63"/>
      <c r="AC18" s="10"/>
    </row>
    <row r="19" spans="3:29" x14ac:dyDescent="0.25">
      <c r="C19" s="10"/>
      <c r="D19" s="10" t="s">
        <v>21</v>
      </c>
      <c r="E19" s="10"/>
      <c r="F19" s="62">
        <f>'Aplikasi Hitung'!F15:G15</f>
        <v>3</v>
      </c>
      <c r="G19" s="62"/>
      <c r="H19" s="22"/>
      <c r="I19" s="62">
        <f>'Aplikasi Hitung'!I15:J15</f>
        <v>3</v>
      </c>
      <c r="J19" s="62"/>
      <c r="K19" s="22"/>
      <c r="L19" s="62">
        <f>'Aplikasi Hitung'!L15:M15</f>
        <v>3</v>
      </c>
      <c r="M19" s="62"/>
      <c r="N19" s="22"/>
      <c r="O19" s="62">
        <f>'Aplikasi Hitung'!O15:P15</f>
        <v>10</v>
      </c>
      <c r="P19" s="62"/>
      <c r="Q19" s="22"/>
      <c r="R19" s="62">
        <f>'Aplikasi Hitung'!R15:S15</f>
        <v>7</v>
      </c>
      <c r="S19" s="62"/>
      <c r="T19" s="22"/>
      <c r="U19" s="62">
        <f>'Aplikasi Hitung'!U15:V15</f>
        <v>7</v>
      </c>
      <c r="V19" s="62"/>
      <c r="W19" s="22"/>
      <c r="X19" s="62">
        <f>'Aplikasi Hitung'!X15:Y15</f>
        <v>7</v>
      </c>
      <c r="Y19" s="62"/>
      <c r="Z19" s="22"/>
      <c r="AA19" s="62">
        <f>'Aplikasi Hitung'!AA15:AB15</f>
        <v>10</v>
      </c>
      <c r="AB19" s="62"/>
      <c r="AC19" s="10"/>
    </row>
    <row r="20" spans="3:29" x14ac:dyDescent="0.25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5" spans="3:29" x14ac:dyDescent="0.25">
      <c r="J25" s="9"/>
    </row>
  </sheetData>
  <sheetProtection password="CEB8" sheet="1" objects="1" scenarios="1"/>
  <mergeCells count="42">
    <mergeCell ref="AA15:AB15"/>
    <mergeCell ref="D16:D18"/>
    <mergeCell ref="F15:G15"/>
    <mergeCell ref="I15:J15"/>
    <mergeCell ref="L15:M15"/>
    <mergeCell ref="O15:P15"/>
    <mergeCell ref="R15:S15"/>
    <mergeCell ref="U15:V15"/>
    <mergeCell ref="X15:Y15"/>
    <mergeCell ref="X16:Y18"/>
    <mergeCell ref="AA16:AB18"/>
    <mergeCell ref="U19:V19"/>
    <mergeCell ref="X19:Y19"/>
    <mergeCell ref="AA19:AB19"/>
    <mergeCell ref="F16:G18"/>
    <mergeCell ref="I16:J18"/>
    <mergeCell ref="L16:M18"/>
    <mergeCell ref="O16:P18"/>
    <mergeCell ref="R16:S18"/>
    <mergeCell ref="U16:V18"/>
    <mergeCell ref="F19:G19"/>
    <mergeCell ref="I19:J19"/>
    <mergeCell ref="L19:M19"/>
    <mergeCell ref="O19:P19"/>
    <mergeCell ref="R19:S19"/>
    <mergeCell ref="X14:Y14"/>
    <mergeCell ref="AA14:AB14"/>
    <mergeCell ref="F14:G14"/>
    <mergeCell ref="I14:J14"/>
    <mergeCell ref="L14:M14"/>
    <mergeCell ref="O14:P14"/>
    <mergeCell ref="R14:S14"/>
    <mergeCell ref="U14:V14"/>
    <mergeCell ref="D2:AB2"/>
    <mergeCell ref="F9:G9"/>
    <mergeCell ref="I9:J9"/>
    <mergeCell ref="L9:M9"/>
    <mergeCell ref="O9:P9"/>
    <mergeCell ref="R9:S9"/>
    <mergeCell ref="U9:V9"/>
    <mergeCell ref="X9:Y9"/>
    <mergeCell ref="AA9:AB9"/>
  </mergeCells>
  <pageMargins left="0.5" right="0.25" top="0.5" bottom="0.5" header="0.3" footer="0.3"/>
  <pageSetup paperSize="9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02"/>
  <sheetViews>
    <sheetView topLeftCell="A79" workbookViewId="0">
      <selection activeCell="E5" sqref="E5"/>
    </sheetView>
  </sheetViews>
  <sheetFormatPr defaultRowHeight="15" x14ac:dyDescent="0.25"/>
  <cols>
    <col min="1" max="1" width="4" bestFit="1" customWidth="1"/>
  </cols>
  <sheetData>
    <row r="2" spans="1:5" x14ac:dyDescent="0.25">
      <c r="A2" s="67" t="s">
        <v>3</v>
      </c>
      <c r="B2" s="67"/>
      <c r="D2" t="s">
        <v>4</v>
      </c>
    </row>
    <row r="3" spans="1:5" x14ac:dyDescent="0.25">
      <c r="A3">
        <v>1</v>
      </c>
      <c r="B3" s="1">
        <v>20.25</v>
      </c>
      <c r="D3" s="2">
        <v>2</v>
      </c>
      <c r="E3">
        <v>3</v>
      </c>
    </row>
    <row r="4" spans="1:5" x14ac:dyDescent="0.25">
      <c r="A4">
        <v>2</v>
      </c>
      <c r="B4" s="1">
        <v>17.239999999999998</v>
      </c>
      <c r="D4" s="2">
        <v>4</v>
      </c>
      <c r="E4">
        <v>7</v>
      </c>
    </row>
    <row r="5" spans="1:5" x14ac:dyDescent="0.25">
      <c r="A5">
        <v>3</v>
      </c>
      <c r="B5" s="1">
        <v>15.48</v>
      </c>
      <c r="D5" s="2">
        <v>8</v>
      </c>
      <c r="E5">
        <v>10</v>
      </c>
    </row>
    <row r="6" spans="1:5" x14ac:dyDescent="0.25">
      <c r="A6">
        <v>4</v>
      </c>
      <c r="B6" s="1">
        <v>14.23</v>
      </c>
      <c r="D6" s="2">
        <v>16</v>
      </c>
      <c r="E6">
        <v>14</v>
      </c>
    </row>
    <row r="7" spans="1:5" x14ac:dyDescent="0.25">
      <c r="A7">
        <v>5</v>
      </c>
      <c r="B7" s="1">
        <v>13.26</v>
      </c>
      <c r="D7" s="2">
        <v>32</v>
      </c>
      <c r="E7">
        <v>17</v>
      </c>
    </row>
    <row r="8" spans="1:5" x14ac:dyDescent="0.25">
      <c r="A8">
        <v>6</v>
      </c>
      <c r="B8" s="1">
        <v>12.47</v>
      </c>
      <c r="D8" s="2">
        <v>64</v>
      </c>
      <c r="E8">
        <v>20</v>
      </c>
    </row>
    <row r="9" spans="1:5" x14ac:dyDescent="0.25">
      <c r="A9">
        <v>7</v>
      </c>
      <c r="B9" s="1">
        <v>11.8</v>
      </c>
    </row>
    <row r="10" spans="1:5" x14ac:dyDescent="0.25">
      <c r="A10">
        <v>8</v>
      </c>
      <c r="B10" s="1">
        <v>11.22</v>
      </c>
    </row>
    <row r="11" spans="1:5" x14ac:dyDescent="0.25">
      <c r="A11">
        <v>9</v>
      </c>
      <c r="B11" s="1">
        <v>10.71</v>
      </c>
    </row>
    <row r="12" spans="1:5" x14ac:dyDescent="0.25">
      <c r="A12">
        <v>10</v>
      </c>
      <c r="B12" s="1">
        <v>10.25</v>
      </c>
    </row>
    <row r="13" spans="1:5" x14ac:dyDescent="0.25">
      <c r="A13">
        <v>11</v>
      </c>
      <c r="B13" s="1">
        <v>9.84</v>
      </c>
    </row>
    <row r="14" spans="1:5" x14ac:dyDescent="0.25">
      <c r="A14">
        <v>12</v>
      </c>
      <c r="B14" s="1">
        <v>9.4600000000000009</v>
      </c>
    </row>
    <row r="15" spans="1:5" x14ac:dyDescent="0.25">
      <c r="A15">
        <v>13</v>
      </c>
      <c r="B15" s="1">
        <v>9.11</v>
      </c>
    </row>
    <row r="16" spans="1:5" x14ac:dyDescent="0.25">
      <c r="A16">
        <v>14</v>
      </c>
      <c r="B16" s="1">
        <v>8.7899999999999991</v>
      </c>
    </row>
    <row r="17" spans="1:2" x14ac:dyDescent="0.25">
      <c r="A17">
        <v>15</v>
      </c>
      <c r="B17" s="1">
        <v>8.49</v>
      </c>
    </row>
    <row r="18" spans="1:2" x14ac:dyDescent="0.25">
      <c r="A18">
        <v>16</v>
      </c>
      <c r="B18" s="1">
        <v>8.2100000000000009</v>
      </c>
    </row>
    <row r="19" spans="1:2" x14ac:dyDescent="0.25">
      <c r="A19">
        <v>17</v>
      </c>
      <c r="B19" s="1">
        <v>7.95</v>
      </c>
    </row>
    <row r="20" spans="1:2" x14ac:dyDescent="0.25">
      <c r="A20">
        <v>18</v>
      </c>
      <c r="B20" s="1">
        <v>7.7</v>
      </c>
    </row>
    <row r="21" spans="1:2" x14ac:dyDescent="0.25">
      <c r="A21">
        <v>19</v>
      </c>
      <c r="B21" s="1">
        <v>7.46</v>
      </c>
    </row>
    <row r="22" spans="1:2" x14ac:dyDescent="0.25">
      <c r="A22">
        <v>20</v>
      </c>
      <c r="B22" s="1">
        <v>7.24</v>
      </c>
    </row>
    <row r="23" spans="1:2" x14ac:dyDescent="0.25">
      <c r="A23">
        <v>21</v>
      </c>
      <c r="B23" s="1">
        <v>7.03</v>
      </c>
    </row>
    <row r="24" spans="1:2" x14ac:dyDescent="0.25">
      <c r="A24">
        <v>22</v>
      </c>
      <c r="B24" s="1">
        <v>6.83</v>
      </c>
    </row>
    <row r="25" spans="1:2" x14ac:dyDescent="0.25">
      <c r="A25">
        <v>23</v>
      </c>
      <c r="B25" s="1">
        <v>6.63</v>
      </c>
    </row>
    <row r="26" spans="1:2" x14ac:dyDescent="0.25">
      <c r="A26">
        <v>24</v>
      </c>
      <c r="B26" s="1">
        <v>6.45</v>
      </c>
    </row>
    <row r="27" spans="1:2" x14ac:dyDescent="0.25">
      <c r="A27">
        <v>25</v>
      </c>
      <c r="B27" s="1">
        <v>6.27</v>
      </c>
    </row>
    <row r="28" spans="1:2" x14ac:dyDescent="0.25">
      <c r="A28">
        <v>26</v>
      </c>
      <c r="B28" s="1">
        <v>6.1</v>
      </c>
    </row>
    <row r="29" spans="1:2" x14ac:dyDescent="0.25">
      <c r="A29">
        <v>27</v>
      </c>
      <c r="B29" s="1">
        <v>5.94</v>
      </c>
    </row>
    <row r="30" spans="1:2" x14ac:dyDescent="0.25">
      <c r="A30">
        <v>28</v>
      </c>
      <c r="B30" s="1">
        <v>5.78</v>
      </c>
    </row>
    <row r="31" spans="1:2" x14ac:dyDescent="0.25">
      <c r="A31">
        <v>29</v>
      </c>
      <c r="B31" s="1">
        <v>5.63</v>
      </c>
    </row>
    <row r="32" spans="1:2" x14ac:dyDescent="0.25">
      <c r="A32">
        <v>30</v>
      </c>
      <c r="B32" s="1">
        <v>5.48</v>
      </c>
    </row>
    <row r="33" spans="1:2" x14ac:dyDescent="0.25">
      <c r="A33">
        <v>31</v>
      </c>
      <c r="B33" s="1">
        <v>5.34</v>
      </c>
    </row>
    <row r="34" spans="1:2" x14ac:dyDescent="0.25">
      <c r="A34">
        <v>32</v>
      </c>
      <c r="B34" s="1">
        <v>5.2</v>
      </c>
    </row>
    <row r="35" spans="1:2" x14ac:dyDescent="0.25">
      <c r="A35">
        <v>33</v>
      </c>
      <c r="B35" s="1">
        <v>5.0599999999999996</v>
      </c>
    </row>
    <row r="36" spans="1:2" x14ac:dyDescent="0.25">
      <c r="A36">
        <v>34</v>
      </c>
      <c r="B36" s="1">
        <v>4.9400000000000004</v>
      </c>
    </row>
    <row r="37" spans="1:2" x14ac:dyDescent="0.25">
      <c r="A37">
        <v>35</v>
      </c>
      <c r="B37" s="1">
        <v>4.8099999999999996</v>
      </c>
    </row>
    <row r="38" spans="1:2" x14ac:dyDescent="0.25">
      <c r="A38">
        <v>36</v>
      </c>
      <c r="B38" s="1">
        <v>4.6900000000000004</v>
      </c>
    </row>
    <row r="39" spans="1:2" x14ac:dyDescent="0.25">
      <c r="A39">
        <v>37</v>
      </c>
      <c r="B39" s="1">
        <v>4.57</v>
      </c>
    </row>
    <row r="40" spans="1:2" x14ac:dyDescent="0.25">
      <c r="A40">
        <v>38</v>
      </c>
      <c r="B40" s="1">
        <v>4.45</v>
      </c>
    </row>
    <row r="41" spans="1:2" x14ac:dyDescent="0.25">
      <c r="A41">
        <v>39</v>
      </c>
      <c r="B41" s="1">
        <v>4.34</v>
      </c>
    </row>
    <row r="42" spans="1:2" x14ac:dyDescent="0.25">
      <c r="A42">
        <v>40</v>
      </c>
      <c r="B42" s="1">
        <v>4.2300000000000004</v>
      </c>
    </row>
    <row r="43" spans="1:2" x14ac:dyDescent="0.25">
      <c r="A43">
        <v>41</v>
      </c>
      <c r="B43" s="1">
        <v>4.12</v>
      </c>
    </row>
    <row r="44" spans="1:2" x14ac:dyDescent="0.25">
      <c r="A44">
        <v>42</v>
      </c>
      <c r="B44" s="1">
        <v>4.0199999999999996</v>
      </c>
    </row>
    <row r="45" spans="1:2" x14ac:dyDescent="0.25">
      <c r="A45">
        <v>43</v>
      </c>
      <c r="B45" s="1">
        <v>3.92</v>
      </c>
    </row>
    <row r="46" spans="1:2" x14ac:dyDescent="0.25">
      <c r="A46">
        <v>44</v>
      </c>
      <c r="B46" s="1">
        <v>3.82</v>
      </c>
    </row>
    <row r="47" spans="1:2" x14ac:dyDescent="0.25">
      <c r="A47">
        <v>45</v>
      </c>
      <c r="B47" s="1">
        <v>3.72</v>
      </c>
    </row>
    <row r="48" spans="1:2" x14ac:dyDescent="0.25">
      <c r="A48">
        <v>46</v>
      </c>
      <c r="B48" s="1">
        <v>3.62</v>
      </c>
    </row>
    <row r="49" spans="1:2" x14ac:dyDescent="0.25">
      <c r="A49">
        <v>47</v>
      </c>
      <c r="B49" s="1">
        <v>3.53</v>
      </c>
    </row>
    <row r="50" spans="1:2" x14ac:dyDescent="0.25">
      <c r="A50">
        <v>48</v>
      </c>
      <c r="B50" s="1">
        <v>3.44</v>
      </c>
    </row>
    <row r="51" spans="1:2" x14ac:dyDescent="0.25">
      <c r="A51">
        <v>49</v>
      </c>
      <c r="B51" s="1">
        <v>3.35</v>
      </c>
    </row>
    <row r="52" spans="1:2" x14ac:dyDescent="0.25">
      <c r="A52">
        <v>50</v>
      </c>
      <c r="B52" s="1">
        <v>3.26</v>
      </c>
    </row>
    <row r="53" spans="1:2" x14ac:dyDescent="0.25">
      <c r="A53">
        <v>51</v>
      </c>
      <c r="B53" s="1">
        <v>3.17</v>
      </c>
    </row>
    <row r="54" spans="1:2" x14ac:dyDescent="0.25">
      <c r="A54">
        <v>52</v>
      </c>
      <c r="B54" s="1">
        <v>3.09</v>
      </c>
    </row>
    <row r="55" spans="1:2" x14ac:dyDescent="0.25">
      <c r="A55">
        <v>53</v>
      </c>
      <c r="B55" s="1">
        <v>3.01</v>
      </c>
    </row>
    <row r="56" spans="1:2" x14ac:dyDescent="0.25">
      <c r="A56">
        <v>54</v>
      </c>
      <c r="B56" s="1">
        <v>2.93</v>
      </c>
    </row>
    <row r="57" spans="1:2" x14ac:dyDescent="0.25">
      <c r="A57">
        <v>55</v>
      </c>
      <c r="B57" s="1">
        <v>2.85</v>
      </c>
    </row>
    <row r="58" spans="1:2" x14ac:dyDescent="0.25">
      <c r="A58">
        <v>56</v>
      </c>
      <c r="B58" s="1">
        <v>2.77</v>
      </c>
    </row>
    <row r="59" spans="1:2" x14ac:dyDescent="0.25">
      <c r="A59">
        <v>57</v>
      </c>
      <c r="B59" s="1">
        <v>2.69</v>
      </c>
    </row>
    <row r="60" spans="1:2" x14ac:dyDescent="0.25">
      <c r="A60">
        <v>58</v>
      </c>
      <c r="B60" s="1">
        <v>2.62</v>
      </c>
    </row>
    <row r="61" spans="1:2" x14ac:dyDescent="0.25">
      <c r="A61">
        <v>59</v>
      </c>
      <c r="B61" s="1">
        <v>2.54</v>
      </c>
    </row>
    <row r="62" spans="1:2" x14ac:dyDescent="0.25">
      <c r="A62">
        <v>60</v>
      </c>
      <c r="B62" s="1">
        <v>2.4700000000000002</v>
      </c>
    </row>
    <row r="63" spans="1:2" x14ac:dyDescent="0.25">
      <c r="A63">
        <v>61</v>
      </c>
      <c r="B63" s="1">
        <v>2.4</v>
      </c>
    </row>
    <row r="64" spans="1:2" x14ac:dyDescent="0.25">
      <c r="A64">
        <v>62</v>
      </c>
      <c r="B64" s="1">
        <v>2.33</v>
      </c>
    </row>
    <row r="65" spans="1:2" x14ac:dyDescent="0.25">
      <c r="A65">
        <v>63</v>
      </c>
      <c r="B65" s="1">
        <v>2.2599999999999998</v>
      </c>
    </row>
    <row r="66" spans="1:2" x14ac:dyDescent="0.25">
      <c r="A66">
        <v>64</v>
      </c>
      <c r="B66" s="1">
        <v>2.19</v>
      </c>
    </row>
    <row r="67" spans="1:2" x14ac:dyDescent="0.25">
      <c r="A67">
        <v>65</v>
      </c>
      <c r="B67" s="1">
        <v>2.12</v>
      </c>
    </row>
    <row r="68" spans="1:2" x14ac:dyDescent="0.25">
      <c r="A68">
        <v>66</v>
      </c>
      <c r="B68" s="1">
        <v>2.0499999999999998</v>
      </c>
    </row>
    <row r="69" spans="1:2" x14ac:dyDescent="0.25">
      <c r="A69">
        <v>67</v>
      </c>
      <c r="B69" s="1">
        <v>1.99</v>
      </c>
    </row>
    <row r="70" spans="1:2" x14ac:dyDescent="0.25">
      <c r="A70">
        <v>68</v>
      </c>
      <c r="B70" s="1">
        <v>1.92</v>
      </c>
    </row>
    <row r="71" spans="1:2" x14ac:dyDescent="0.25">
      <c r="A71">
        <v>69</v>
      </c>
      <c r="B71" s="1">
        <v>1.86</v>
      </c>
    </row>
    <row r="72" spans="1:2" x14ac:dyDescent="0.25">
      <c r="A72">
        <v>70</v>
      </c>
      <c r="B72" s="1">
        <v>1.8</v>
      </c>
    </row>
    <row r="73" spans="1:2" x14ac:dyDescent="0.25">
      <c r="A73">
        <v>71</v>
      </c>
      <c r="B73" s="1">
        <v>1.74</v>
      </c>
    </row>
    <row r="74" spans="1:2" x14ac:dyDescent="0.25">
      <c r="A74">
        <v>72</v>
      </c>
      <c r="B74" s="1">
        <v>1.68</v>
      </c>
    </row>
    <row r="75" spans="1:2" x14ac:dyDescent="0.25">
      <c r="A75">
        <v>73</v>
      </c>
      <c r="B75" s="1">
        <v>1.62</v>
      </c>
    </row>
    <row r="76" spans="1:2" x14ac:dyDescent="0.25">
      <c r="A76">
        <v>74</v>
      </c>
      <c r="B76" s="1">
        <v>1.56</v>
      </c>
    </row>
    <row r="77" spans="1:2" x14ac:dyDescent="0.25">
      <c r="A77">
        <v>75</v>
      </c>
      <c r="B77" s="1">
        <v>1.5</v>
      </c>
    </row>
    <row r="78" spans="1:2" x14ac:dyDescent="0.25">
      <c r="A78">
        <v>76</v>
      </c>
      <c r="B78" s="1">
        <v>1.44</v>
      </c>
    </row>
    <row r="79" spans="1:2" x14ac:dyDescent="0.25">
      <c r="A79">
        <v>77</v>
      </c>
      <c r="B79" s="1">
        <v>1.39</v>
      </c>
    </row>
    <row r="80" spans="1:2" x14ac:dyDescent="0.25">
      <c r="A80">
        <v>78</v>
      </c>
      <c r="B80" s="1">
        <v>1.33</v>
      </c>
    </row>
    <row r="81" spans="1:2" x14ac:dyDescent="0.25">
      <c r="A81">
        <v>79</v>
      </c>
      <c r="B81" s="1">
        <v>1.27</v>
      </c>
    </row>
    <row r="82" spans="1:2" x14ac:dyDescent="0.25">
      <c r="A82">
        <v>80</v>
      </c>
      <c r="B82" s="1">
        <v>1.22</v>
      </c>
    </row>
    <row r="83" spans="1:2" x14ac:dyDescent="0.25">
      <c r="A83">
        <v>81</v>
      </c>
      <c r="B83" s="1">
        <v>1.17</v>
      </c>
    </row>
    <row r="84" spans="1:2" x14ac:dyDescent="0.25">
      <c r="A84">
        <v>82</v>
      </c>
      <c r="B84" s="1">
        <v>1.1100000000000001</v>
      </c>
    </row>
    <row r="85" spans="1:2" x14ac:dyDescent="0.25">
      <c r="A85">
        <v>83</v>
      </c>
      <c r="B85" s="1">
        <v>1.06</v>
      </c>
    </row>
    <row r="86" spans="1:2" x14ac:dyDescent="0.25">
      <c r="A86">
        <v>84</v>
      </c>
      <c r="B86" s="1">
        <v>1.01</v>
      </c>
    </row>
    <row r="87" spans="1:2" x14ac:dyDescent="0.25">
      <c r="A87">
        <v>85</v>
      </c>
      <c r="B87" s="1">
        <v>0.96</v>
      </c>
    </row>
    <row r="88" spans="1:2" x14ac:dyDescent="0.25">
      <c r="A88">
        <v>86</v>
      </c>
      <c r="B88" s="1">
        <v>0.91</v>
      </c>
    </row>
    <row r="89" spans="1:2" x14ac:dyDescent="0.25">
      <c r="A89">
        <v>87</v>
      </c>
      <c r="B89" s="1">
        <v>0.85</v>
      </c>
    </row>
    <row r="90" spans="1:2" x14ac:dyDescent="0.25">
      <c r="A90">
        <v>88</v>
      </c>
      <c r="B90" s="1">
        <v>0.81</v>
      </c>
    </row>
    <row r="91" spans="1:2" x14ac:dyDescent="0.25">
      <c r="A91">
        <v>89</v>
      </c>
      <c r="B91" s="1">
        <v>0.76</v>
      </c>
    </row>
    <row r="92" spans="1:2" x14ac:dyDescent="0.25">
      <c r="A92">
        <v>90</v>
      </c>
      <c r="B92" s="1">
        <v>0.71</v>
      </c>
    </row>
    <row r="93" spans="1:2" x14ac:dyDescent="0.25">
      <c r="A93">
        <v>91</v>
      </c>
      <c r="B93" s="1">
        <v>0.66</v>
      </c>
    </row>
    <row r="94" spans="1:2" x14ac:dyDescent="0.25">
      <c r="A94">
        <v>92</v>
      </c>
      <c r="B94" s="1">
        <v>0.61</v>
      </c>
    </row>
    <row r="95" spans="1:2" x14ac:dyDescent="0.25">
      <c r="A95">
        <v>93</v>
      </c>
      <c r="B95" s="1">
        <v>0.56999999999999995</v>
      </c>
    </row>
    <row r="96" spans="1:2" x14ac:dyDescent="0.25">
      <c r="A96">
        <v>94</v>
      </c>
      <c r="B96" s="1">
        <v>0.52</v>
      </c>
    </row>
    <row r="97" spans="1:2" x14ac:dyDescent="0.25">
      <c r="A97">
        <v>95</v>
      </c>
      <c r="B97" s="1">
        <v>0.47</v>
      </c>
    </row>
    <row r="98" spans="1:2" x14ac:dyDescent="0.25">
      <c r="A98">
        <v>96</v>
      </c>
      <c r="B98" s="1">
        <v>0.43</v>
      </c>
    </row>
    <row r="99" spans="1:2" x14ac:dyDescent="0.25">
      <c r="A99">
        <v>97</v>
      </c>
      <c r="B99" s="1">
        <v>0.38</v>
      </c>
    </row>
    <row r="100" spans="1:2" x14ac:dyDescent="0.25">
      <c r="A100">
        <v>98</v>
      </c>
      <c r="B100" s="1">
        <v>0.34</v>
      </c>
    </row>
    <row r="101" spans="1:2" x14ac:dyDescent="0.25">
      <c r="A101">
        <v>99</v>
      </c>
      <c r="B101" s="1">
        <v>0.28999999999999998</v>
      </c>
    </row>
    <row r="102" spans="1:2" x14ac:dyDescent="0.25">
      <c r="A102">
        <v>100</v>
      </c>
      <c r="B102" s="1">
        <v>0.25</v>
      </c>
    </row>
  </sheetData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Aplikasi Hitung</vt:lpstr>
      <vt:lpstr>Cetak</vt:lpstr>
      <vt:lpstr>Sheet3</vt:lpstr>
      <vt:lpstr>Cetak!Print_Area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ismail - [2010]</dc:creator>
  <cp:lastModifiedBy>CMM</cp:lastModifiedBy>
  <cp:lastPrinted>2022-11-17T19:38:07Z</cp:lastPrinted>
  <dcterms:created xsi:type="dcterms:W3CDTF">2022-11-02T18:52:40Z</dcterms:created>
  <dcterms:modified xsi:type="dcterms:W3CDTF">2023-08-16T18:15:06Z</dcterms:modified>
</cp:coreProperties>
</file>